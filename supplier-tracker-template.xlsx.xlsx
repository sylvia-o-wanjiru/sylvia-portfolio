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cutive Summary" sheetId="2" state="visible" r:id="rId4"/>
    <sheet name="Specs Register" sheetId="3" state="visible" r:id="rId5"/>
    <sheet name="Milestone Tracker" sheetId="4" state="visible" r:id="rId6"/>
    <sheet name="Batch Log" sheetId="5" state="visible" r:id="rId7"/>
    <sheet name="Performance Scorecard" sheetId="6" state="visible" r:id="rId8"/>
    <sheet name="Collaboration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<sst xmlns="http://schemas.openxmlformats.org/spreadsheetml/2006/main" count="119" uniqueCount="116">
  <si>
    <t xml:space="preserve">Supplier Qualification Toolkit</t>
  </si>
  <si>
    <t xml:space="preserve">Built by Sylvia Wanjiru Opiyo, Operational Excellence &amp; Quality Leader</t>
  </si>
  <si>
    <t xml:space="preserve">HOW TO USE THIS TOOLKIT</t>
  </si>
  <si>
    <t xml:space="preserve">This is a lightweight, PPAP-inspired process for qualifying a new supplier or component,</t>
  </si>
  <si>
    <t xml:space="preserve">built for teams that need to move fast (often with engineering outsourced overseas) without</t>
  </si>
  <si>
    <t xml:space="preserve">losing track of the specs that actually matter once the product meets real-world use.</t>
  </si>
  <si>
    <t xml:space="preserve">1. Go to 'Specs Register'. List every requirement you're checking for. Mark the ones that</t>
  </si>
  <si>
    <t xml:space="preserve">   matter most given how the product will actually be used, not just what a standard spec</t>
  </si>
  <si>
    <t xml:space="preserve">   sheet assumes. Delete the example row before adding your real specs.</t>
  </si>
  <si>
    <t xml:space="preserve">2. Go to 'Milestone Tracker'. This is your big-picture view: seven stages from first</t>
  </si>
  <si>
    <t xml:space="preserve">   agreement to final sign-off, including a Screen stage before you invest in a sample run.</t>
  </si>
  <si>
    <t xml:space="preserve">   Update the Status column as you progress. % Complete updates on its own.</t>
  </si>
  <si>
    <t xml:space="preserve">3. Every time the supplier sends a new batch or sample, open 'Batch Log', fill in that</t>
  </si>
  <si>
    <t xml:space="preserve">   round's date, and mark each spec Pass, Partial, or Fail. Watch for a cell with a bold red</t>
  </si>
  <si>
    <t xml:space="preserve">   border: that means something PASSED in an earlier batch and just failed again. That's a</t>
  </si>
  <si>
    <t xml:space="preserve">   stronger warning sign than a first-time failure. It usually means there's no real process</t>
  </si>
  <si>
    <t xml:space="preserve">   control on the supplier's side, just manual firefighting of whatever was flagged last time.</t>
  </si>
  <si>
    <t xml:space="preserve">4. Once a supplier is qualified, the work isn't over. Review 'Performance Scorecard' on a</t>
  </si>
  <si>
    <t xml:space="preserve">   set cadence, quarterly is common, scoring Quality, Delivery, Responsiveness,</t>
  </si>
  <si>
    <t xml:space="preserve">   Documentation, and Cost. Overall Score and Status calculate automatically. This is what</t>
  </si>
  <si>
    <t xml:space="preserve">   catches a supplier drifting after they've already been locked in.</t>
  </si>
  <si>
    <t xml:space="preserve">5. Use 'Collaboration Log' to track the relationship side: joint calls, issues the supplier</t>
  </si>
  <si>
    <t xml:space="preserve">   fixed proactively, agreements reached. This is what turns a vendor into a partner, and</t>
  </si>
  <si>
    <t xml:space="preserve">   it's easy to forget once you're deep in spec details.</t>
  </si>
  <si>
    <t xml:space="preserve">6. Check 'Executive Summary' whenever you need a fast answer to "how far along are we, and</t>
  </si>
  <si>
    <t xml:space="preserve">   is this still worth it": overall progress, how many rounds and months this has taken,</t>
  </si>
  <si>
    <t xml:space="preserve">   how many regressions have happened, and the supplier's latest performance status.</t>
  </si>
  <si>
    <t xml:space="preserve">SHARING THIS WITH YOUR SUPPLIER</t>
  </si>
  <si>
    <t xml:space="preserve">Many suppliers, especially in mainland China, don't have reliable access to live Google</t>
  </si>
  <si>
    <t xml:space="preserve">Sheets links. The workflow that actually works in practice: download this as an Excel file</t>
  </si>
  <si>
    <t xml:space="preserve">(File &gt; Download &gt; Microsoft Excel), send it to your supplier contact by email or WeChat.</t>
  </si>
  <si>
    <t xml:space="preserve">They fill in what they've changed on their end and send it back. You review it, add your own</t>
  </si>
  <si>
    <t xml:space="preserve">notes directly into the same file for what still needs work, and send it back again. Repeat</t>
  </si>
  <si>
    <t xml:space="preserve">each round.</t>
  </si>
  <si>
    <t xml:space="preserve">This keeps one continuous, unambiguous document trail both sides can point back to. Neither</t>
  </si>
  <si>
    <t xml:space="preserve">side can later claim the information was vague or unfair, since every round is right there in</t>
  </si>
  <si>
    <t xml:space="preserve">the same file, in order.</t>
  </si>
  <si>
    <t xml:space="preserve">For a quick visual update to share over WeChat without sending the whole file, print just</t>
  </si>
  <si>
    <t xml:space="preserve">the tab you want (File &gt; Print, select current sheet only) and save it as a PDF.</t>
  </si>
  <si>
    <t xml:space="preserve">This toolkit is a directional tool, not a certification. For regulated or safety-critical</t>
  </si>
  <si>
    <t xml:space="preserve">parts, a full formal PPAP process with your quality team is still the right call.</t>
  </si>
  <si>
    <t xml:space="preserve">Executive Summary</t>
  </si>
  <si>
    <t xml:space="preserve">Auto-updates from the Milestone Tracker and Batch Log. Use this view for a fast go/no-go conversation.</t>
  </si>
  <si>
    <t xml:space="preserve">Overall milestone progress</t>
  </si>
  <si>
    <t xml:space="preserve">Pulled directly from the Milestone Tracker tab.</t>
  </si>
  <si>
    <t xml:space="preserve">Total specs tracked</t>
  </si>
  <si>
    <t xml:space="preserve">Counts real specs entered (excludes the example row).</t>
  </si>
  <si>
    <t xml:space="preserve">First round logged</t>
  </si>
  <si>
    <t xml:space="preserve">Earliest Round Date filled in on the Batch Log.</t>
  </si>
  <si>
    <t xml:space="preserve">Most recent round logged</t>
  </si>
  <si>
    <t xml:space="preserve">Latest Round Date filled in on the Batch Log.</t>
  </si>
  <si>
    <t xml:space="preserve">Approx. time elapsed (months)</t>
  </si>
  <si>
    <t xml:space="preserve">Rounded from first to most recent round date.</t>
  </si>
  <si>
    <t xml:space="preserve">Total regressions detected</t>
  </si>
  <si>
    <t xml:space="preserve">Every time a spec passed, then failed or went partial in a later round.</t>
  </si>
  <si>
    <t xml:space="preserve">Latest performance status</t>
  </si>
  <si>
    <t xml:space="preserve">Pulled from the most recent row in Performance Scorecard. Review that tab on a set cadence, not just when something breaks.</t>
  </si>
  <si>
    <t xml:space="preserve">For the current status of any individual spec, see the Batch Log tab. This summary is directional, meant to support a fast decision, not replace looking at the detail when it matters.</t>
  </si>
  <si>
    <t xml:space="preserve">Spec ID</t>
  </si>
  <si>
    <t xml:space="preserve">Spec / Requirement</t>
  </si>
  <si>
    <t xml:space="preserve">Critical for real-world use?</t>
  </si>
  <si>
    <t xml:space="preserve">Target Value</t>
  </si>
  <si>
    <t xml:space="preserve">Date Added</t>
  </si>
  <si>
    <t xml:space="preserve">Notes / Rationale</t>
  </si>
  <si>
    <t xml:space="preserve">Example: Frame weld strength holds under 120kg dynamic load</t>
  </si>
  <si>
    <t xml:space="preserve">Y</t>
  </si>
  <si>
    <t xml:space="preserve">No visible crack after 10,000 load cycles</t>
  </si>
  <si>
    <t xml:space="preserve">2026-01-15</t>
  </si>
  <si>
    <t xml:space="preserve">Delete this row before adding your real specs</t>
  </si>
  <si>
    <t xml:space="preserve">Stage</t>
  </si>
  <si>
    <t xml:space="preserve">Status</t>
  </si>
  <si>
    <t xml:space="preserve">Owner</t>
  </si>
  <si>
    <t xml:space="preserve">Date Started</t>
  </si>
  <si>
    <t xml:space="preserve">Date Completed</t>
  </si>
  <si>
    <t xml:space="preserve">Notes / Evidence</t>
  </si>
  <si>
    <t xml:space="preserve">1. Spec &amp; Design Agreement</t>
  </si>
  <si>
    <t xml:space="preserve">2. Supplier Screened</t>
  </si>
  <si>
    <t xml:space="preserve">3. Initial Sample Submitted</t>
  </si>
  <si>
    <t xml:space="preserve">4. Sample Validated</t>
  </si>
  <si>
    <t xml:space="preserve">5. Process Consistency Proven</t>
  </si>
  <si>
    <t xml:space="preserve">6. Open Issues Resolved</t>
  </si>
  <si>
    <t xml:space="preserve">7. Final Approval / Sign-off</t>
  </si>
  <si>
    <t xml:space="preserve">Overall % Complete</t>
  </si>
  <si>
    <t xml:space="preserve">Any stage blocked?</t>
  </si>
  <si>
    <t xml:space="preserve">Spec</t>
  </si>
  <si>
    <t xml:space="preserve">Batch 1</t>
  </si>
  <si>
    <t xml:space="preserve">Batch 2</t>
  </si>
  <si>
    <t xml:space="preserve">Batch 3</t>
  </si>
  <si>
    <t xml:space="preserve">Batch 4</t>
  </si>
  <si>
    <t xml:space="preserve">Batch 5</t>
  </si>
  <si>
    <t xml:space="preserve">Batch 6</t>
  </si>
  <si>
    <t xml:space="preserve">Batch 7</t>
  </si>
  <si>
    <t xml:space="preserve">Batch 8</t>
  </si>
  <si>
    <t xml:space="preserve">Round Date</t>
  </si>
  <si>
    <t xml:space="preserve">Legend: Green = Pass, Amber = Partial, Red = Fail. A bold red border means REGRESSION: this passed in an earlier batch and just failed again.</t>
  </si>
  <si>
    <t xml:space="preserve">Fill in Round Date each time you log a batch. Need more than 8 rounds? Insert a column, copy the formatting, and extend the regression rule.</t>
  </si>
  <si>
    <t xml:space="preserve">Period</t>
  </si>
  <si>
    <t xml:space="preserve">Supplier</t>
  </si>
  <si>
    <t xml:space="preserve">Quality</t>
  </si>
  <si>
    <t xml:space="preserve">Delivery</t>
  </si>
  <si>
    <t xml:space="preserve">Responsiveness</t>
  </si>
  <si>
    <t xml:space="preserve">Documentation</t>
  </si>
  <si>
    <t xml:space="preserve">Cost / Commercial</t>
  </si>
  <si>
    <t xml:space="preserve">Overall Score</t>
  </si>
  <si>
    <t xml:space="preserve">Review Action</t>
  </si>
  <si>
    <t xml:space="preserve">Q1 2026</t>
  </si>
  <si>
    <t xml:space="preserve">Example: Rim supplier</t>
  </si>
  <si>
    <t xml:space="preserve">Delete this row before adding your real reviews</t>
  </si>
  <si>
    <t xml:space="preserve">Score each category 1 (poor) to 5 (excellent). Overall Score and Status calculate automatically. Review on a set cadence, quarterly is common, not just when something goes wrong.</t>
  </si>
  <si>
    <t xml:space="preserve">Date</t>
  </si>
  <si>
    <t xml:space="preserve">Type</t>
  </si>
  <si>
    <t xml:space="preserve">Raised By</t>
  </si>
  <si>
    <t xml:space="preserve">Description</t>
  </si>
  <si>
    <t xml:space="preserve">2026-01-20</t>
  </si>
  <si>
    <t xml:space="preserve">Proactive Fix</t>
  </si>
  <si>
    <t xml:space="preserve">Example: Supplier noticed a tolerance drift on their own QC line and flagged it before we found it in Batch 3. Delete this row before logging real entries.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</si>
</sst>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"/>
    <numFmt numFmtId="167" formatCode="yyyy\-mm\-dd"/>
    <numFmt numFmtId="168" formatCode="0.0"/>
    <numFmt numFmtId="169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430"/>
      <name val="Arial"/>
      <family val="0"/>
      <charset val="1"/>
    </font>
    <font>
      <i val="true"/>
      <sz val="10"/>
      <color rgb="FF5A647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3F7A5C"/>
      <name val="Arial"/>
      <family val="0"/>
      <charset val="1"/>
    </font>
    <font>
      <b val="true"/>
      <sz val="16"/>
      <color rgb="FF1B2430"/>
      <name val="Arial"/>
      <family val="0"/>
      <charset val="1"/>
    </font>
    <font>
      <b val="true"/>
      <sz val="11"/>
      <color rgb="FF1B2430"/>
      <name val="Arial"/>
      <family val="0"/>
      <charset val="1"/>
    </font>
    <font>
      <b val="true"/>
      <sz val="20"/>
      <color rgb="FF3F7A5C"/>
      <name val="Arial"/>
      <family val="0"/>
      <charset val="1"/>
    </font>
    <font>
      <i val="true"/>
      <sz val="9"/>
      <color rgb="FF5A6470"/>
      <name val="Arial"/>
      <family val="0"/>
      <charset val="1"/>
    </font>
    <font>
      <b val="true"/>
      <sz val="13"/>
      <color rgb="FF1B243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B2430"/>
      <name val="Arial"/>
      <family val="0"/>
      <charset val="1"/>
    </font>
    <font>
      <b val="true"/>
      <sz val="14"/>
      <color rgb="FF3F7A5C"/>
      <name val="Arial"/>
      <family val="0"/>
      <charset val="1"/>
    </font>
    <font>
      <b val="true"/>
      <i val="true"/>
      <sz val="9"/>
      <color rgb="FF5A647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7F8F4"/>
        <bgColor rgb="FFFFFDE7"/>
      </patternFill>
    </fill>
    <fill>
      <patternFill patternType="solid">
        <fgColor rgb="FF1B2430"/>
        <bgColor rgb="FF333300"/>
      </patternFill>
    </fill>
    <fill>
      <patternFill patternType="solid">
        <fgColor rgb="FFFFFDE7"/>
        <bgColor rgb="FFF7F8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3CCC7"/>
      </left>
      <right style="thin">
        <color rgb="FFC3CCC7"/>
      </right>
      <top style="thin">
        <color rgb="FFC3CCC7"/>
      </top>
      <bottom style="thin">
        <color rgb="FFC3CC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3F7A5C"/>
      </font>
      <fill>
        <patternFill>
          <bgColor rgb="FFE9F3EE"/>
        </patternFill>
      </fill>
    </dxf>
    <dxf>
      <font>
        <name val="Arial"/>
        <charset val="1"/>
        <family val="0"/>
        <b val="1"/>
        <color rgb="FFC9A227"/>
      </font>
      <fill>
        <patternFill>
          <bgColor rgb="FFFBF3E0"/>
        </patternFill>
      </fill>
    </dxf>
    <dxf>
      <font>
        <name val="Arial"/>
        <charset val="1"/>
        <family val="0"/>
        <b val="1"/>
        <color rgb="FFC1583A"/>
      </font>
      <fill>
        <patternFill>
          <bgColor rgb="FFFBEEE9"/>
        </patternFill>
      </fill>
    </dxf>
    <dxf>
      <fill>
        <patternFill>
          <bgColor rgb="FFECECEC"/>
        </patternFill>
      </fill>
    </dxf>
    <dxf>
      <font>
        <name val="Arial"/>
        <charset val="1"/>
        <family val="0"/>
        <b val="1"/>
        <color rgb="FFC1583A"/>
      </font>
      <fill>
        <patternFill>
          <bgColor rgb="FFFBEEE9"/>
        </patternFill>
      </fill>
      <border diagonalUp="false" diagonalDown="false">
        <left style="thick">
          <color rgb="FFC1583A"/>
        </left>
        <right style="thick">
          <color rgb="FFC1583A"/>
        </right>
        <top style="thick">
          <color rgb="FFC1583A"/>
        </top>
        <bottom style="thick">
          <color rgb="FFC1583A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CC7"/>
      <rgbColor rgb="FF808080"/>
      <rgbColor rgb="FF9999FF"/>
      <rgbColor rgb="FFC1583A"/>
      <rgbColor rgb="FFFFFDE7"/>
      <rgbColor rgb="FFE9F3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F7F8F4"/>
      <rgbColor rgb="FFFBF3E0"/>
      <rgbColor rgb="FF99CCFF"/>
      <rgbColor rgb="FFFF99CC"/>
      <rgbColor rgb="FFCC99FF"/>
      <rgbColor rgb="FFFBEEE9"/>
      <rgbColor rgb="FF3366FF"/>
      <rgbColor rgb="FF33CCCC"/>
      <rgbColor rgb="FF99CC00"/>
      <rgbColor rgb="FFFFCC00"/>
      <rgbColor rgb="FFC9A227"/>
      <rgbColor rgb="FFFF6600"/>
      <rgbColor rgb="FF5A6470"/>
      <rgbColor rgb="FF969696"/>
      <rgbColor rgb="FF003366"/>
      <rgbColor rgb="FF3F7A5C"/>
      <rgbColor rgb="FF003300"/>
      <rgbColor rgb="FF333300"/>
      <rgbColor rgb="FF993300"/>
      <rgbColor rgb="FF993366"/>
      <rgbColor rgb="FF33339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15" hidden="false" customHeight="true" outlineLevel="0" collapsed="false">
      <c r="A5" s="4"/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/>
    </row>
    <row r="10" customFormat="false" ht="15" hidden="false" customHeight="true" outlineLevel="0" collapsed="false">
      <c r="A10" s="4" t="s">
        <v>6</v>
      </c>
    </row>
    <row r="11" customFormat="false" ht="15" hidden="false" customHeight="true" outlineLevel="0" collapsed="false">
      <c r="A11" s="4" t="s">
        <v>7</v>
      </c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4"/>
    </row>
    <row r="14" customFormat="false" ht="15" hidden="false" customHeight="true" outlineLevel="0" collapsed="false">
      <c r="A14" s="4" t="s">
        <v>9</v>
      </c>
    </row>
    <row r="15" customFormat="false" ht="15" hidden="false" customHeight="true" outlineLevel="0" collapsed="false">
      <c r="A15" s="4" t="s">
        <v>10</v>
      </c>
    </row>
    <row r="16" customFormat="false" ht="15" hidden="false" customHeight="true" outlineLevel="0" collapsed="false">
      <c r="A16" s="4" t="s">
        <v>11</v>
      </c>
    </row>
    <row r="17" customFormat="false" ht="15" hidden="false" customHeight="true" outlineLevel="0" collapsed="false">
      <c r="A17" s="4"/>
    </row>
    <row r="18" customFormat="false" ht="15" hidden="false" customHeight="true" outlineLevel="0" collapsed="false">
      <c r="A18" s="4" t="s">
        <v>12</v>
      </c>
    </row>
    <row r="19" customFormat="false" ht="15" hidden="false" customHeight="true" outlineLevel="0" collapsed="false">
      <c r="A19" s="4" t="s">
        <v>13</v>
      </c>
    </row>
    <row r="20" customFormat="false" ht="15" hidden="false" customHeight="true" outlineLevel="0" collapsed="false">
      <c r="A20" s="4" t="s">
        <v>14</v>
      </c>
    </row>
    <row r="21" customFormat="false" ht="15" hidden="false" customHeight="true" outlineLevel="0" collapsed="false">
      <c r="A21" s="4" t="s">
        <v>15</v>
      </c>
    </row>
    <row r="22" customFormat="false" ht="15" hidden="false" customHeight="true" outlineLevel="0" collapsed="false">
      <c r="A22" s="4" t="s">
        <v>16</v>
      </c>
    </row>
    <row r="23" customFormat="false" ht="15" hidden="false" customHeight="true" outlineLevel="0" collapsed="false">
      <c r="A23" s="4"/>
    </row>
    <row r="24" customFormat="false" ht="15" hidden="false" customHeight="true" outlineLevel="0" collapsed="false">
      <c r="A24" s="4" t="s">
        <v>17</v>
      </c>
    </row>
    <row r="25" customFormat="false" ht="15" hidden="false" customHeight="true" outlineLevel="0" collapsed="false">
      <c r="A25" s="4" t="s">
        <v>18</v>
      </c>
    </row>
    <row r="26" customFormat="false" ht="15" hidden="false" customHeight="true" outlineLevel="0" collapsed="false">
      <c r="A26" s="4" t="s">
        <v>19</v>
      </c>
    </row>
    <row r="27" customFormat="false" ht="15" hidden="false" customHeight="true" outlineLevel="0" collapsed="false">
      <c r="A27" s="4" t="s">
        <v>20</v>
      </c>
    </row>
    <row r="28" customFormat="false" ht="15" hidden="false" customHeight="true" outlineLevel="0" collapsed="false">
      <c r="A28" s="4"/>
    </row>
    <row r="29" customFormat="false" ht="15" hidden="false" customHeight="true" outlineLevel="0" collapsed="false">
      <c r="A29" s="4" t="s">
        <v>21</v>
      </c>
    </row>
    <row r="30" customFormat="false" ht="15" hidden="false" customHeight="true" outlineLevel="0" collapsed="false">
      <c r="A30" s="4" t="s">
        <v>22</v>
      </c>
    </row>
    <row r="31" customFormat="false" ht="15" hidden="false" customHeight="true" outlineLevel="0" collapsed="false">
      <c r="A31" s="4" t="s">
        <v>23</v>
      </c>
    </row>
    <row r="32" customFormat="false" ht="15" hidden="false" customHeight="true" outlineLevel="0" collapsed="false">
      <c r="A32" s="4"/>
    </row>
    <row r="33" customFormat="false" ht="15" hidden="false" customHeight="true" outlineLevel="0" collapsed="false">
      <c r="A33" s="4" t="s">
        <v>24</v>
      </c>
    </row>
    <row r="34" customFormat="false" ht="15" hidden="false" customHeight="true" outlineLevel="0" collapsed="false">
      <c r="A34" s="4" t="s">
        <v>25</v>
      </c>
    </row>
    <row r="35" customFormat="false" ht="15" hidden="false" customHeight="true" outlineLevel="0" collapsed="false">
      <c r="A35" s="4" t="s">
        <v>26</v>
      </c>
    </row>
    <row r="36" customFormat="false" ht="15" hidden="false" customHeight="true" outlineLevel="0" collapsed="false">
      <c r="A36" s="4"/>
    </row>
    <row r="37" customFormat="false" ht="15" hidden="false" customHeight="true" outlineLevel="0" collapsed="false">
      <c r="A37" s="5" t="s">
        <v>27</v>
      </c>
    </row>
    <row r="38" customFormat="false" ht="15" hidden="false" customHeight="true" outlineLevel="0" collapsed="false">
      <c r="A38" s="4"/>
    </row>
    <row r="39" customFormat="false" ht="15" hidden="false" customHeight="true" outlineLevel="0" collapsed="false">
      <c r="A39" s="4" t="s">
        <v>28</v>
      </c>
    </row>
    <row r="40" customFormat="false" ht="15" hidden="false" customHeight="true" outlineLevel="0" collapsed="false">
      <c r="A40" s="4" t="s">
        <v>29</v>
      </c>
    </row>
    <row r="41" customFormat="false" ht="15" hidden="false" customHeight="true" outlineLevel="0" collapsed="false">
      <c r="A41" s="4" t="s">
        <v>30</v>
      </c>
    </row>
    <row r="42" customFormat="false" ht="15" hidden="false" customHeight="true" outlineLevel="0" collapsed="false">
      <c r="A42" s="4" t="s">
        <v>31</v>
      </c>
    </row>
    <row r="43" customFormat="false" ht="15" hidden="false" customHeight="true" outlineLevel="0" collapsed="false">
      <c r="A43" s="4" t="s">
        <v>32</v>
      </c>
    </row>
    <row r="44" customFormat="false" ht="15" hidden="false" customHeight="true" outlineLevel="0" collapsed="false">
      <c r="A44" s="4" t="s">
        <v>33</v>
      </c>
    </row>
    <row r="45" customFormat="false" ht="15" hidden="false" customHeight="true" outlineLevel="0" collapsed="false">
      <c r="A45" s="4"/>
    </row>
    <row r="46" customFormat="false" ht="15" hidden="false" customHeight="true" outlineLevel="0" collapsed="false">
      <c r="A46" s="4" t="s">
        <v>34</v>
      </c>
    </row>
    <row r="47" customFormat="false" ht="15" hidden="false" customHeight="true" outlineLevel="0" collapsed="false">
      <c r="A47" s="4" t="s">
        <v>35</v>
      </c>
    </row>
    <row r="48" customFormat="false" ht="15" hidden="false" customHeight="true" outlineLevel="0" collapsed="false">
      <c r="A48" s="4" t="s">
        <v>36</v>
      </c>
    </row>
    <row r="49" customFormat="false" ht="15" hidden="false" customHeight="false" outlineLevel="0" collapsed="false">
      <c r="A49" s="4"/>
    </row>
    <row r="50" customFormat="false" ht="15" hidden="false" customHeight="false" outlineLevel="0" collapsed="false">
      <c r="A50" s="4" t="s">
        <v>37</v>
      </c>
    </row>
    <row r="51" customFormat="false" ht="15" hidden="false" customHeight="false" outlineLevel="0" collapsed="false">
      <c r="A51" s="4" t="s">
        <v>38</v>
      </c>
    </row>
    <row r="52" customFormat="false" ht="15" hidden="false" customHeight="false" outlineLevel="0" collapsed="false">
      <c r="A52" s="4"/>
    </row>
    <row r="53" customFormat="false" ht="15" hidden="false" customHeight="false" outlineLevel="0" collapsed="false">
      <c r="A53" s="4" t="s">
        <v>39</v>
      </c>
    </row>
    <row r="54" customFormat="false" ht="15" hidden="false" customHeight="false" outlineLevel="0" collapsed="false">
      <c r="A54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6" t="s">
        <v>41</v>
      </c>
    </row>
    <row r="2" customFormat="false" ht="15" hidden="false" customHeight="true" outlineLevel="0" collapsed="false">
      <c r="A2" s="7" t="s">
        <v>42</v>
      </c>
      <c r="B2" s="7"/>
      <c r="C2" s="7"/>
    </row>
    <row r="4" customFormat="false" ht="24" hidden="false" customHeight="true" outlineLevel="0" collapsed="false">
      <c r="A4" s="8" t="s">
        <v>43</v>
      </c>
      <c r="B4" s="9" t="n">
        <f aca="false">'Milestone Tracker'!B10</f>
        <v>0</v>
      </c>
      <c r="C4" s="10" t="s">
        <v>44</v>
      </c>
    </row>
    <row r="5" customFormat="false" ht="15" hidden="false" customHeight="true" outlineLevel="0" collapsed="false">
      <c r="B5" s="1" t="n">
        <f aca="false">COUNTA('Specs Register'!B2:B31)</f>
        <v>1</v>
      </c>
    </row>
    <row r="6" customFormat="false" ht="24" hidden="false" customHeight="true" outlineLevel="0" collapsed="false">
      <c r="A6" s="8" t="s">
        <v>45</v>
      </c>
      <c r="B6" s="11" t="n">
        <f aca="false">COUNTA('Specs Register'!B2:B31)</f>
        <v>1</v>
      </c>
      <c r="C6" s="10" t="s">
        <v>46</v>
      </c>
    </row>
    <row r="8" customFormat="false" ht="15.75" hidden="false" customHeight="true" outlineLevel="0" collapsed="false">
      <c r="A8" s="8" t="s">
        <v>47</v>
      </c>
      <c r="B8" s="12" t="str">
        <f aca="false">IF(COUNT('Batch Log'!B2:I2)=0,"Not started",MIN('Batch Log'!B2:I2))</f>
        <v>Not started</v>
      </c>
      <c r="C8" s="10" t="s">
        <v>48</v>
      </c>
    </row>
    <row r="10" customFormat="false" ht="15.75" hidden="false" customHeight="true" outlineLevel="0" collapsed="false">
      <c r="A10" s="8" t="s">
        <v>49</v>
      </c>
      <c r="B10" s="12" t="str">
        <f aca="false">IF(COUNT('Batch Log'!B2:I2)=0,"Not started",MAX('Batch Log'!B2:I2))</f>
        <v>Not started</v>
      </c>
      <c r="C10" s="10" t="s">
        <v>50</v>
      </c>
    </row>
    <row r="12" customFormat="false" ht="15.75" hidden="false" customHeight="true" outlineLevel="0" collapsed="false">
      <c r="A12" s="8" t="s">
        <v>51</v>
      </c>
      <c r="B12" s="13" t="n">
        <f aca="false">IF(COUNT('Batch Log'!B2:I2)&lt;2,0,ROUND((MAX('Batch Log'!B2:I2)-MIN('Batch Log'!B2:I2))/30,1))</f>
        <v>0</v>
      </c>
      <c r="C12" s="10" t="s">
        <v>52</v>
      </c>
    </row>
    <row r="14" customFormat="false" ht="24" hidden="false" customHeight="true" outlineLevel="0" collapsed="false">
      <c r="A14" s="8" t="s">
        <v>53</v>
      </c>
      <c r="B14" s="11" t="n">
        <f aca="false">SUMPRODUCT((('Batch Log'!C3:I32="Fail")+('Batch Log'!C3:I32="Partial"))*('Batch Log'!B3:H32="Pass"))</f>
        <v>0</v>
      </c>
      <c r="C14" s="10" t="s">
        <v>54</v>
      </c>
    </row>
    <row r="16" customFormat="false" ht="32.25" hidden="false" customHeight="true" outlineLevel="0" collapsed="false">
      <c r="A16" s="8" t="s">
        <v>55</v>
      </c>
      <c r="B16" s="14" t="str">
        <f aca="false">IF(COUNTA('Performance Scorecard'!A2:A31)=0,"No reviews yet",INDEX('Performance Scorecard'!I2:I31,COUNTA('Performance Scorecard'!A2:A31)))</f>
        <v>Performing</v>
      </c>
      <c r="C16" s="10" t="s">
        <v>56</v>
      </c>
    </row>
    <row r="17" customFormat="false" ht="21.75" hidden="false" customHeight="true" outlineLevel="0" collapsed="false">
      <c r="A17" s="15" t="s">
        <v>57</v>
      </c>
    </row>
    <row r="19" customFormat="false" ht="21.75" hidden="false" customHeight="true" outlineLevel="0" collapsed="false">
      <c r="A19" s="16" t="s">
        <v>57</v>
      </c>
      <c r="B19" s="16"/>
      <c r="C19" s="16"/>
    </row>
  </sheetData>
  <mergeCells count="2">
    <mergeCell ref="A2:C2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40"/>
  </cols>
  <sheetData>
    <row r="1" customFormat="false" ht="26.25" hidden="false" customHeight="true" outlineLevel="0" collapsed="false">
      <c r="A1" s="17" t="s">
        <v>58</v>
      </c>
      <c r="B1" s="17" t="s">
        <v>59</v>
      </c>
      <c r="C1" s="17" t="s">
        <v>60</v>
      </c>
      <c r="D1" s="17" t="s">
        <v>61</v>
      </c>
      <c r="E1" s="17" t="s">
        <v>62</v>
      </c>
      <c r="F1" s="17" t="s">
        <v>63</v>
      </c>
    </row>
    <row r="2" customFormat="false" ht="23.25" hidden="false" customHeight="true" outlineLevel="0" collapsed="false">
      <c r="A2" s="18" t="n">
        <f aca="false">IF(B2="","",ROW()-1)</f>
        <v>1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</row>
    <row r="3" customFormat="false" ht="15" hidden="false" customHeight="true" outlineLevel="0" collapsed="false">
      <c r="A3" s="18" t="str">
        <f aca="false">IF(B3="","",ROW()-1)</f>
        <v/>
      </c>
      <c r="B3" s="18"/>
      <c r="C3" s="20"/>
      <c r="D3" s="18"/>
      <c r="E3" s="18"/>
      <c r="F3" s="18"/>
    </row>
    <row r="4" customFormat="false" ht="15" hidden="false" customHeight="true" outlineLevel="0" collapsed="false">
      <c r="A4" s="18" t="str">
        <f aca="false">IF(B4="","",ROW()-1)</f>
        <v/>
      </c>
      <c r="B4" s="18"/>
      <c r="C4" s="20"/>
      <c r="D4" s="18"/>
      <c r="E4" s="18"/>
      <c r="F4" s="18"/>
    </row>
    <row r="5" customFormat="false" ht="15" hidden="false" customHeight="true" outlineLevel="0" collapsed="false">
      <c r="A5" s="18" t="str">
        <f aca="false">IF(B5="","",ROW()-1)</f>
        <v/>
      </c>
      <c r="B5" s="18"/>
      <c r="C5" s="20"/>
      <c r="D5" s="18"/>
      <c r="E5" s="18"/>
      <c r="F5" s="18"/>
    </row>
    <row r="6" customFormat="false" ht="15" hidden="false" customHeight="true" outlineLevel="0" collapsed="false">
      <c r="A6" s="18" t="str">
        <f aca="false">IF(B6="","",ROW()-1)</f>
        <v/>
      </c>
      <c r="B6" s="18"/>
      <c r="C6" s="20"/>
      <c r="D6" s="18"/>
      <c r="E6" s="18"/>
      <c r="F6" s="18"/>
    </row>
    <row r="7" customFormat="false" ht="15" hidden="false" customHeight="true" outlineLevel="0" collapsed="false">
      <c r="A7" s="18" t="str">
        <f aca="false">IF(B7="","",ROW()-1)</f>
        <v/>
      </c>
      <c r="B7" s="18"/>
      <c r="C7" s="20"/>
      <c r="D7" s="18"/>
      <c r="E7" s="18"/>
      <c r="F7" s="18"/>
    </row>
    <row r="8" customFormat="false" ht="15" hidden="false" customHeight="true" outlineLevel="0" collapsed="false">
      <c r="A8" s="18" t="str">
        <f aca="false">IF(B8="","",ROW()-1)</f>
        <v/>
      </c>
      <c r="B8" s="18"/>
      <c r="C8" s="20"/>
      <c r="D8" s="18"/>
      <c r="E8" s="18"/>
      <c r="F8" s="18"/>
    </row>
    <row r="9" customFormat="false" ht="15" hidden="false" customHeight="true" outlineLevel="0" collapsed="false">
      <c r="A9" s="18" t="str">
        <f aca="false">IF(B9="","",ROW()-1)</f>
        <v/>
      </c>
      <c r="B9" s="18"/>
      <c r="C9" s="20"/>
      <c r="D9" s="18"/>
      <c r="E9" s="18"/>
      <c r="F9" s="18"/>
    </row>
    <row r="10" customFormat="false" ht="15" hidden="false" customHeight="true" outlineLevel="0" collapsed="false">
      <c r="A10" s="18" t="str">
        <f aca="false">IF(B10="","",ROW()-1)</f>
        <v/>
      </c>
      <c r="B10" s="18"/>
      <c r="C10" s="20"/>
      <c r="D10" s="18"/>
      <c r="E10" s="18"/>
      <c r="F10" s="18"/>
    </row>
    <row r="11" customFormat="false" ht="15" hidden="false" customHeight="true" outlineLevel="0" collapsed="false">
      <c r="A11" s="18" t="str">
        <f aca="false">IF(B11="","",ROW()-1)</f>
        <v/>
      </c>
      <c r="B11" s="18"/>
      <c r="C11" s="20"/>
      <c r="D11" s="18"/>
      <c r="E11" s="18"/>
      <c r="F11" s="18"/>
    </row>
    <row r="12" customFormat="false" ht="15" hidden="false" customHeight="true" outlineLevel="0" collapsed="false">
      <c r="A12" s="18" t="str">
        <f aca="false">IF(B12="","",ROW()-1)</f>
        <v/>
      </c>
      <c r="B12" s="18"/>
      <c r="C12" s="20"/>
      <c r="D12" s="18"/>
      <c r="E12" s="18"/>
      <c r="F12" s="18"/>
    </row>
    <row r="13" customFormat="false" ht="15" hidden="false" customHeight="true" outlineLevel="0" collapsed="false">
      <c r="A13" s="18" t="str">
        <f aca="false">IF(B13="","",ROW()-1)</f>
        <v/>
      </c>
      <c r="B13" s="18"/>
      <c r="C13" s="20"/>
      <c r="D13" s="18"/>
      <c r="E13" s="18"/>
      <c r="F13" s="18"/>
    </row>
    <row r="14" customFormat="false" ht="15" hidden="false" customHeight="true" outlineLevel="0" collapsed="false">
      <c r="A14" s="18" t="str">
        <f aca="false">IF(B14="","",ROW()-1)</f>
        <v/>
      </c>
      <c r="B14" s="18"/>
      <c r="C14" s="20"/>
      <c r="D14" s="18"/>
      <c r="E14" s="18"/>
      <c r="F14" s="18"/>
    </row>
    <row r="15" customFormat="false" ht="15" hidden="false" customHeight="true" outlineLevel="0" collapsed="false">
      <c r="A15" s="18" t="str">
        <f aca="false">IF(B15="","",ROW()-1)</f>
        <v/>
      </c>
      <c r="B15" s="18"/>
      <c r="C15" s="20"/>
      <c r="D15" s="18"/>
      <c r="E15" s="18"/>
      <c r="F15" s="18"/>
    </row>
    <row r="16" customFormat="false" ht="15" hidden="false" customHeight="true" outlineLevel="0" collapsed="false">
      <c r="A16" s="18" t="str">
        <f aca="false">IF(B16="","",ROW()-1)</f>
        <v/>
      </c>
      <c r="B16" s="18"/>
      <c r="C16" s="20"/>
      <c r="D16" s="18"/>
      <c r="E16" s="18"/>
      <c r="F16" s="18"/>
    </row>
    <row r="17" customFormat="false" ht="15" hidden="false" customHeight="true" outlineLevel="0" collapsed="false">
      <c r="A17" s="18" t="str">
        <f aca="false">IF(B17="","",ROW()-1)</f>
        <v/>
      </c>
      <c r="B17" s="18"/>
      <c r="C17" s="20"/>
      <c r="D17" s="18"/>
      <c r="E17" s="18"/>
      <c r="F17" s="18"/>
    </row>
    <row r="18" customFormat="false" ht="15" hidden="false" customHeight="true" outlineLevel="0" collapsed="false">
      <c r="A18" s="18" t="str">
        <f aca="false">IF(B18="","",ROW()-1)</f>
        <v/>
      </c>
      <c r="B18" s="18"/>
      <c r="C18" s="20"/>
      <c r="D18" s="18"/>
      <c r="E18" s="18"/>
      <c r="F18" s="18"/>
    </row>
    <row r="19" customFormat="false" ht="15" hidden="false" customHeight="true" outlineLevel="0" collapsed="false">
      <c r="A19" s="18" t="str">
        <f aca="false">IF(B19="","",ROW()-1)</f>
        <v/>
      </c>
      <c r="B19" s="18"/>
      <c r="C19" s="20"/>
      <c r="D19" s="18"/>
      <c r="E19" s="18"/>
      <c r="F19" s="18"/>
    </row>
    <row r="20" customFormat="false" ht="15" hidden="false" customHeight="true" outlineLevel="0" collapsed="false">
      <c r="A20" s="18" t="str">
        <f aca="false">IF(B20="","",ROW()-1)</f>
        <v/>
      </c>
      <c r="B20" s="18"/>
      <c r="C20" s="20"/>
      <c r="D20" s="18"/>
      <c r="E20" s="18"/>
      <c r="F20" s="18"/>
    </row>
    <row r="21" customFormat="false" ht="15" hidden="false" customHeight="true" outlineLevel="0" collapsed="false">
      <c r="A21" s="18" t="str">
        <f aca="false">IF(B21="","",ROW()-1)</f>
        <v/>
      </c>
      <c r="B21" s="18"/>
      <c r="C21" s="20"/>
      <c r="D21" s="18"/>
      <c r="E21" s="18"/>
      <c r="F21" s="18"/>
    </row>
    <row r="22" customFormat="false" ht="15" hidden="false" customHeight="true" outlineLevel="0" collapsed="false">
      <c r="A22" s="18" t="str">
        <f aca="false">IF(B22="","",ROW()-1)</f>
        <v/>
      </c>
      <c r="B22" s="18"/>
      <c r="C22" s="20"/>
      <c r="D22" s="18"/>
      <c r="E22" s="18"/>
      <c r="F22" s="18"/>
    </row>
    <row r="23" customFormat="false" ht="15" hidden="false" customHeight="true" outlineLevel="0" collapsed="false">
      <c r="A23" s="18" t="str">
        <f aca="false">IF(B23="","",ROW()-1)</f>
        <v/>
      </c>
      <c r="B23" s="18"/>
      <c r="C23" s="20"/>
      <c r="D23" s="18"/>
      <c r="E23" s="18"/>
      <c r="F23" s="18"/>
    </row>
    <row r="24" customFormat="false" ht="15" hidden="false" customHeight="true" outlineLevel="0" collapsed="false">
      <c r="A24" s="18" t="str">
        <f aca="false">IF(B24="","",ROW()-1)</f>
        <v/>
      </c>
      <c r="B24" s="18"/>
      <c r="C24" s="20"/>
      <c r="D24" s="18"/>
      <c r="E24" s="18"/>
      <c r="F24" s="18"/>
    </row>
    <row r="25" customFormat="false" ht="15" hidden="false" customHeight="true" outlineLevel="0" collapsed="false">
      <c r="A25" s="18" t="str">
        <f aca="false">IF(B25="","",ROW()-1)</f>
        <v/>
      </c>
      <c r="B25" s="18"/>
      <c r="C25" s="20"/>
      <c r="D25" s="18"/>
      <c r="E25" s="18"/>
      <c r="F25" s="18"/>
    </row>
    <row r="26" customFormat="false" ht="15" hidden="false" customHeight="true" outlineLevel="0" collapsed="false">
      <c r="A26" s="18" t="str">
        <f aca="false">IF(B26="","",ROW()-1)</f>
        <v/>
      </c>
      <c r="B26" s="18"/>
      <c r="C26" s="20"/>
      <c r="D26" s="18"/>
      <c r="E26" s="18"/>
      <c r="F26" s="18"/>
    </row>
    <row r="27" customFormat="false" ht="15" hidden="false" customHeight="true" outlineLevel="0" collapsed="false">
      <c r="A27" s="18" t="str">
        <f aca="false">IF(B27="","",ROW()-1)</f>
        <v/>
      </c>
      <c r="B27" s="18"/>
      <c r="C27" s="20"/>
      <c r="D27" s="18"/>
      <c r="E27" s="18"/>
      <c r="F27" s="18"/>
    </row>
    <row r="28" customFormat="false" ht="15" hidden="false" customHeight="true" outlineLevel="0" collapsed="false">
      <c r="A28" s="18" t="str">
        <f aca="false">IF(B28="","",ROW()-1)</f>
        <v/>
      </c>
      <c r="B28" s="18"/>
      <c r="C28" s="20"/>
      <c r="D28" s="18"/>
      <c r="E28" s="18"/>
      <c r="F28" s="18"/>
    </row>
    <row r="29" customFormat="false" ht="15" hidden="false" customHeight="true" outlineLevel="0" collapsed="false">
      <c r="A29" s="18" t="str">
        <f aca="false">IF(B29="","",ROW()-1)</f>
        <v/>
      </c>
      <c r="B29" s="18"/>
      <c r="C29" s="20"/>
      <c r="D29" s="18"/>
      <c r="E29" s="18"/>
      <c r="F29" s="18"/>
    </row>
    <row r="30" customFormat="false" ht="15" hidden="false" customHeight="true" outlineLevel="0" collapsed="false">
      <c r="A30" s="18" t="str">
        <f aca="false">IF(B30="","",ROW()-1)</f>
        <v/>
      </c>
      <c r="B30" s="18"/>
      <c r="C30" s="20"/>
      <c r="D30" s="18"/>
      <c r="E30" s="18"/>
      <c r="F30" s="18"/>
    </row>
    <row r="31" customFormat="false" ht="15" hidden="false" customHeight="true" outlineLevel="0" collapsed="false">
      <c r="A31" s="18" t="str">
        <f aca="false">IF(B31="","",ROW()-1)</f>
        <v/>
      </c>
      <c r="B31" s="18"/>
      <c r="C31" s="20"/>
      <c r="D31" s="18"/>
      <c r="E31" s="18"/>
      <c r="F31" s="18"/>
    </row>
  </sheetData>
  <dataValidations count="1">
    <dataValidation allowBlank="true" errorStyle="stop" operator="between" showDropDown="false" showErrorMessage="false" showInputMessage="false" sqref="C2:C3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40"/>
  </cols>
  <sheetData>
    <row r="1" customFormat="false" ht="15" hidden="false" customHeight="true" outlineLevel="0" collapsed="false">
      <c r="A1" s="21" t="s">
        <v>69</v>
      </c>
      <c r="B1" s="21" t="s">
        <v>70</v>
      </c>
      <c r="C1" s="21" t="s">
        <v>71</v>
      </c>
      <c r="D1" s="21" t="s">
        <v>72</v>
      </c>
      <c r="E1" s="21" t="s">
        <v>73</v>
      </c>
      <c r="F1" s="21" t="s">
        <v>74</v>
      </c>
    </row>
    <row r="2" customFormat="false" ht="15" hidden="false" customHeight="true" outlineLevel="0" collapsed="false">
      <c r="A2" s="22" t="s">
        <v>75</v>
      </c>
      <c r="B2" s="20"/>
      <c r="C2" s="20"/>
      <c r="D2" s="18"/>
      <c r="E2" s="18"/>
      <c r="F2" s="18"/>
    </row>
    <row r="3" customFormat="false" ht="15" hidden="false" customHeight="true" outlineLevel="0" collapsed="false">
      <c r="A3" s="22" t="s">
        <v>76</v>
      </c>
      <c r="B3" s="20"/>
      <c r="C3" s="20"/>
      <c r="D3" s="18"/>
      <c r="E3" s="18"/>
      <c r="F3" s="18"/>
    </row>
    <row r="4" customFormat="false" ht="15" hidden="false" customHeight="true" outlineLevel="0" collapsed="false">
      <c r="A4" s="22" t="s">
        <v>77</v>
      </c>
      <c r="B4" s="20"/>
      <c r="C4" s="20"/>
      <c r="D4" s="18"/>
      <c r="E4" s="18"/>
      <c r="F4" s="18"/>
    </row>
    <row r="5" customFormat="false" ht="15" hidden="false" customHeight="true" outlineLevel="0" collapsed="false">
      <c r="A5" s="22" t="s">
        <v>78</v>
      </c>
      <c r="B5" s="20"/>
      <c r="C5" s="20"/>
      <c r="D5" s="18"/>
      <c r="E5" s="18"/>
      <c r="F5" s="18"/>
    </row>
    <row r="6" customFormat="false" ht="15" hidden="false" customHeight="true" outlineLevel="0" collapsed="false">
      <c r="A6" s="22" t="s">
        <v>79</v>
      </c>
      <c r="B6" s="20"/>
      <c r="C6" s="20"/>
      <c r="D6" s="18"/>
      <c r="E6" s="18"/>
      <c r="F6" s="18"/>
    </row>
    <row r="7" customFormat="false" ht="15" hidden="false" customHeight="true" outlineLevel="0" collapsed="false">
      <c r="A7" s="22" t="s">
        <v>80</v>
      </c>
      <c r="B7" s="20"/>
      <c r="C7" s="20"/>
      <c r="D7" s="18"/>
      <c r="E7" s="18"/>
      <c r="F7" s="18"/>
    </row>
    <row r="8" customFormat="false" ht="15" hidden="false" customHeight="true" outlineLevel="0" collapsed="false">
      <c r="A8" s="22" t="s">
        <v>81</v>
      </c>
      <c r="B8" s="20"/>
      <c r="C8" s="20"/>
      <c r="D8" s="18"/>
      <c r="E8" s="18"/>
      <c r="F8" s="18"/>
    </row>
    <row r="9" customFormat="false" ht="17.25" hidden="false" customHeight="true" outlineLevel="0" collapsed="false">
      <c r="A9" s="23"/>
      <c r="B9" s="24"/>
    </row>
    <row r="10" customFormat="false" ht="15" hidden="false" customHeight="true" outlineLevel="0" collapsed="false">
      <c r="A10" s="23" t="s">
        <v>82</v>
      </c>
      <c r="B10" s="24" t="n">
        <f aca="false">COUNTIF(B2:B8,"Complete")/COUNTA(A2:A8)</f>
        <v>0</v>
      </c>
    </row>
    <row r="11" customFormat="false" ht="15" hidden="false" customHeight="true" outlineLevel="0" collapsed="false">
      <c r="A11" s="25" t="s">
        <v>83</v>
      </c>
      <c r="B11" s="26" t="str">
        <f aca="false">IF(COUNTIF(B2:B8,"Blocked")&gt;0,"YES - see notes","No")</f>
        <v>No</v>
      </c>
    </row>
  </sheetData>
  <conditionalFormatting sqref="B2:B8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Started"</formula>
    </cfRule>
  </conditionalFormatting>
  <dataValidations count="2">
    <dataValidation allowBlank="true" errorStyle="stop" operator="between" showDropDown="false" showErrorMessage="false" showInputMessage="false" sqref="B2:B8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C2:C8" type="list">
      <formula1>"Us,Supplier,Joint"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9" min="2" style="1" width="13"/>
  </cols>
  <sheetData>
    <row r="1" customFormat="false" ht="15" hidden="false" customHeight="true" outlineLevel="0" collapsed="false">
      <c r="A1" s="21" t="s">
        <v>84</v>
      </c>
      <c r="B1" s="27" t="s">
        <v>85</v>
      </c>
      <c r="C1" s="27" t="s">
        <v>86</v>
      </c>
      <c r="D1" s="27" t="s">
        <v>87</v>
      </c>
      <c r="E1" s="27" t="s">
        <v>88</v>
      </c>
      <c r="F1" s="27" t="s">
        <v>89</v>
      </c>
      <c r="G1" s="27" t="s">
        <v>90</v>
      </c>
      <c r="H1" s="27" t="s">
        <v>91</v>
      </c>
      <c r="I1" s="27" t="s">
        <v>92</v>
      </c>
    </row>
    <row r="2" customFormat="false" ht="23.25" hidden="false" customHeight="true" outlineLevel="0" collapsed="false">
      <c r="A2" s="28" t="s">
        <v>93</v>
      </c>
      <c r="B2" s="29"/>
      <c r="C2" s="29"/>
      <c r="D2" s="29"/>
      <c r="E2" s="29"/>
      <c r="F2" s="29"/>
      <c r="G2" s="29"/>
      <c r="H2" s="29"/>
      <c r="I2" s="29"/>
    </row>
    <row r="3" customFormat="false" ht="15" hidden="false" customHeight="true" outlineLevel="0" collapsed="false">
      <c r="A3" s="18" t="str">
        <f aca="false">IF('Specs Register'!B2="","",'Specs Register'!B2)</f>
        <v>Example: Frame weld strength holds under 120kg dynamic load</v>
      </c>
      <c r="B3" s="30"/>
      <c r="C3" s="30"/>
      <c r="D3" s="30"/>
      <c r="E3" s="30"/>
      <c r="F3" s="30"/>
      <c r="G3" s="30"/>
      <c r="H3" s="30"/>
      <c r="I3" s="30"/>
    </row>
    <row r="4" customFormat="false" ht="15" hidden="false" customHeight="true" outlineLevel="0" collapsed="false">
      <c r="A4" s="18" t="str">
        <f aca="false">IF('Specs Register'!B3="","",'Specs Register'!B3)</f>
        <v/>
      </c>
      <c r="B4" s="30"/>
      <c r="C4" s="30"/>
      <c r="D4" s="30"/>
      <c r="E4" s="30"/>
      <c r="F4" s="30"/>
      <c r="G4" s="30"/>
      <c r="H4" s="30"/>
      <c r="I4" s="30"/>
    </row>
    <row r="5" customFormat="false" ht="15" hidden="false" customHeight="true" outlineLevel="0" collapsed="false">
      <c r="A5" s="18" t="str">
        <f aca="false">IF('Specs Register'!B4="","",'Specs Register'!B4)</f>
        <v/>
      </c>
      <c r="B5" s="30"/>
      <c r="C5" s="30"/>
      <c r="D5" s="30"/>
      <c r="E5" s="30"/>
      <c r="F5" s="30"/>
      <c r="G5" s="30"/>
      <c r="H5" s="30"/>
      <c r="I5" s="30"/>
    </row>
    <row r="6" customFormat="false" ht="15" hidden="false" customHeight="true" outlineLevel="0" collapsed="false">
      <c r="A6" s="18" t="str">
        <f aca="false">IF('Specs Register'!B5="","",'Specs Register'!B5)</f>
        <v/>
      </c>
      <c r="B6" s="30"/>
      <c r="C6" s="30"/>
      <c r="D6" s="30"/>
      <c r="E6" s="30"/>
      <c r="F6" s="30"/>
      <c r="G6" s="30"/>
      <c r="H6" s="30"/>
      <c r="I6" s="30"/>
    </row>
    <row r="7" customFormat="false" ht="15" hidden="false" customHeight="true" outlineLevel="0" collapsed="false">
      <c r="A7" s="18" t="str">
        <f aca="false">IF('Specs Register'!B6="","",'Specs Register'!B6)</f>
        <v/>
      </c>
      <c r="B7" s="30"/>
      <c r="C7" s="30"/>
      <c r="D7" s="30"/>
      <c r="E7" s="30"/>
      <c r="F7" s="30"/>
      <c r="G7" s="30"/>
      <c r="H7" s="30"/>
      <c r="I7" s="30"/>
    </row>
    <row r="8" customFormat="false" ht="15" hidden="false" customHeight="true" outlineLevel="0" collapsed="false">
      <c r="A8" s="18" t="str">
        <f aca="false">IF('Specs Register'!B7="","",'Specs Register'!B7)</f>
        <v/>
      </c>
      <c r="B8" s="30"/>
      <c r="C8" s="30"/>
      <c r="D8" s="30"/>
      <c r="E8" s="30"/>
      <c r="F8" s="30"/>
      <c r="G8" s="30"/>
      <c r="H8" s="30"/>
      <c r="I8" s="30"/>
    </row>
    <row r="9" customFormat="false" ht="15" hidden="false" customHeight="true" outlineLevel="0" collapsed="false">
      <c r="A9" s="18" t="str">
        <f aca="false">IF('Specs Register'!B8="","",'Specs Register'!B8)</f>
        <v/>
      </c>
      <c r="B9" s="30"/>
      <c r="C9" s="30"/>
      <c r="D9" s="30"/>
      <c r="E9" s="30"/>
      <c r="F9" s="30"/>
      <c r="G9" s="30"/>
      <c r="H9" s="30"/>
      <c r="I9" s="30"/>
    </row>
    <row r="10" customFormat="false" ht="15" hidden="false" customHeight="true" outlineLevel="0" collapsed="false">
      <c r="A10" s="18" t="str">
        <f aca="false">IF('Specs Register'!B9="","",'Specs Register'!B9)</f>
        <v/>
      </c>
      <c r="B10" s="30"/>
      <c r="C10" s="30"/>
      <c r="D10" s="30"/>
      <c r="E10" s="30"/>
      <c r="F10" s="30"/>
      <c r="G10" s="30"/>
      <c r="H10" s="30"/>
      <c r="I10" s="30"/>
    </row>
    <row r="11" customFormat="false" ht="15" hidden="false" customHeight="true" outlineLevel="0" collapsed="false">
      <c r="A11" s="18" t="str">
        <f aca="false">IF('Specs Register'!B10="","",'Specs Register'!B10)</f>
        <v/>
      </c>
      <c r="B11" s="30"/>
      <c r="C11" s="30"/>
      <c r="D11" s="30"/>
      <c r="E11" s="30"/>
      <c r="F11" s="30"/>
      <c r="G11" s="30"/>
      <c r="H11" s="30"/>
      <c r="I11" s="30"/>
    </row>
    <row r="12" customFormat="false" ht="15" hidden="false" customHeight="true" outlineLevel="0" collapsed="false">
      <c r="A12" s="18" t="str">
        <f aca="false">IF('Specs Register'!B11="","",'Specs Register'!B11)</f>
        <v/>
      </c>
      <c r="B12" s="30"/>
      <c r="C12" s="30"/>
      <c r="D12" s="30"/>
      <c r="E12" s="30"/>
      <c r="F12" s="30"/>
      <c r="G12" s="30"/>
      <c r="H12" s="30"/>
      <c r="I12" s="30"/>
    </row>
    <row r="13" customFormat="false" ht="15" hidden="false" customHeight="true" outlineLevel="0" collapsed="false">
      <c r="A13" s="18" t="str">
        <f aca="false">IF('Specs Register'!B12="","",'Specs Register'!B12)</f>
        <v/>
      </c>
      <c r="B13" s="30"/>
      <c r="C13" s="30"/>
      <c r="D13" s="30"/>
      <c r="E13" s="30"/>
      <c r="F13" s="30"/>
      <c r="G13" s="30"/>
      <c r="H13" s="30"/>
      <c r="I13" s="30"/>
    </row>
    <row r="14" customFormat="false" ht="15" hidden="false" customHeight="true" outlineLevel="0" collapsed="false">
      <c r="A14" s="18" t="str">
        <f aca="false">IF('Specs Register'!B13="","",'Specs Register'!B13)</f>
        <v/>
      </c>
      <c r="B14" s="30"/>
      <c r="C14" s="30"/>
      <c r="D14" s="30"/>
      <c r="E14" s="30"/>
      <c r="F14" s="30"/>
      <c r="G14" s="30"/>
      <c r="H14" s="30"/>
      <c r="I14" s="30"/>
    </row>
    <row r="15" customFormat="false" ht="15" hidden="false" customHeight="true" outlineLevel="0" collapsed="false">
      <c r="A15" s="18" t="str">
        <f aca="false">IF('Specs Register'!B14="","",'Specs Register'!B14)</f>
        <v/>
      </c>
      <c r="B15" s="30"/>
      <c r="C15" s="30"/>
      <c r="D15" s="30"/>
      <c r="E15" s="30"/>
      <c r="F15" s="30"/>
      <c r="G15" s="30"/>
      <c r="H15" s="30"/>
      <c r="I15" s="30"/>
    </row>
    <row r="16" customFormat="false" ht="15" hidden="false" customHeight="true" outlineLevel="0" collapsed="false">
      <c r="A16" s="18" t="str">
        <f aca="false">IF('Specs Register'!B15="","",'Specs Register'!B15)</f>
        <v/>
      </c>
      <c r="B16" s="30"/>
      <c r="C16" s="30"/>
      <c r="D16" s="30"/>
      <c r="E16" s="30"/>
      <c r="F16" s="30"/>
      <c r="G16" s="30"/>
      <c r="H16" s="30"/>
      <c r="I16" s="30"/>
    </row>
    <row r="17" customFormat="false" ht="15" hidden="false" customHeight="true" outlineLevel="0" collapsed="false">
      <c r="A17" s="18" t="str">
        <f aca="false">IF('Specs Register'!B16="","",'Specs Register'!B16)</f>
        <v/>
      </c>
      <c r="B17" s="30"/>
      <c r="C17" s="30"/>
      <c r="D17" s="30"/>
      <c r="E17" s="30"/>
      <c r="F17" s="30"/>
      <c r="G17" s="30"/>
      <c r="H17" s="30"/>
      <c r="I17" s="30"/>
    </row>
    <row r="18" customFormat="false" ht="15" hidden="false" customHeight="true" outlineLevel="0" collapsed="false">
      <c r="A18" s="18" t="str">
        <f aca="false">IF('Specs Register'!B17="","",'Specs Register'!B17)</f>
        <v/>
      </c>
      <c r="B18" s="30"/>
      <c r="C18" s="30"/>
      <c r="D18" s="30"/>
      <c r="E18" s="30"/>
      <c r="F18" s="30"/>
      <c r="G18" s="30"/>
      <c r="H18" s="30"/>
      <c r="I18" s="30"/>
    </row>
    <row r="19" customFormat="false" ht="15" hidden="false" customHeight="true" outlineLevel="0" collapsed="false">
      <c r="A19" s="18" t="str">
        <f aca="false">IF('Specs Register'!B18="","",'Specs Register'!B18)</f>
        <v/>
      </c>
      <c r="B19" s="30"/>
      <c r="C19" s="30"/>
      <c r="D19" s="30"/>
      <c r="E19" s="30"/>
      <c r="F19" s="30"/>
      <c r="G19" s="30"/>
      <c r="H19" s="30"/>
      <c r="I19" s="30"/>
    </row>
    <row r="20" customFormat="false" ht="15" hidden="false" customHeight="true" outlineLevel="0" collapsed="false">
      <c r="A20" s="18" t="str">
        <f aca="false">IF('Specs Register'!B19="","",'Specs Register'!B19)</f>
        <v/>
      </c>
      <c r="B20" s="30"/>
      <c r="C20" s="30"/>
      <c r="D20" s="30"/>
      <c r="E20" s="30"/>
      <c r="F20" s="30"/>
      <c r="G20" s="30"/>
      <c r="H20" s="30"/>
      <c r="I20" s="30"/>
    </row>
    <row r="21" customFormat="false" ht="15" hidden="false" customHeight="true" outlineLevel="0" collapsed="false">
      <c r="A21" s="18" t="str">
        <f aca="false">IF('Specs Register'!B20="","",'Specs Register'!B20)</f>
        <v/>
      </c>
      <c r="B21" s="30"/>
      <c r="C21" s="30"/>
      <c r="D21" s="30"/>
      <c r="E21" s="30"/>
      <c r="F21" s="30"/>
      <c r="G21" s="30"/>
      <c r="H21" s="30"/>
      <c r="I21" s="30"/>
    </row>
    <row r="22" customFormat="false" ht="15" hidden="false" customHeight="true" outlineLevel="0" collapsed="false">
      <c r="A22" s="18" t="str">
        <f aca="false">IF('Specs Register'!B21="","",'Specs Register'!B21)</f>
        <v/>
      </c>
      <c r="B22" s="30"/>
      <c r="C22" s="30"/>
      <c r="D22" s="30"/>
      <c r="E22" s="30"/>
      <c r="F22" s="30"/>
      <c r="G22" s="30"/>
      <c r="H22" s="30"/>
      <c r="I22" s="30"/>
    </row>
    <row r="23" customFormat="false" ht="15" hidden="false" customHeight="true" outlineLevel="0" collapsed="false">
      <c r="A23" s="18" t="str">
        <f aca="false">IF('Specs Register'!B22="","",'Specs Register'!B22)</f>
        <v/>
      </c>
      <c r="B23" s="30"/>
      <c r="C23" s="30"/>
      <c r="D23" s="30"/>
      <c r="E23" s="30"/>
      <c r="F23" s="30"/>
      <c r="G23" s="30"/>
      <c r="H23" s="30"/>
      <c r="I23" s="30"/>
    </row>
    <row r="24" customFormat="false" ht="15" hidden="false" customHeight="true" outlineLevel="0" collapsed="false">
      <c r="A24" s="18" t="str">
        <f aca="false">IF('Specs Register'!B23="","",'Specs Register'!B23)</f>
        <v/>
      </c>
      <c r="B24" s="30"/>
      <c r="C24" s="30"/>
      <c r="D24" s="30"/>
      <c r="E24" s="30"/>
      <c r="F24" s="30"/>
      <c r="G24" s="30"/>
      <c r="H24" s="30"/>
      <c r="I24" s="30"/>
    </row>
    <row r="25" customFormat="false" ht="15" hidden="false" customHeight="true" outlineLevel="0" collapsed="false">
      <c r="A25" s="18" t="str">
        <f aca="false">IF('Specs Register'!B24="","",'Specs Register'!B24)</f>
        <v/>
      </c>
      <c r="B25" s="30"/>
      <c r="C25" s="30"/>
      <c r="D25" s="30"/>
      <c r="E25" s="30"/>
      <c r="F25" s="30"/>
      <c r="G25" s="30"/>
      <c r="H25" s="30"/>
      <c r="I25" s="30"/>
    </row>
    <row r="26" customFormat="false" ht="15" hidden="false" customHeight="true" outlineLevel="0" collapsed="false">
      <c r="A26" s="18" t="str">
        <f aca="false">IF('Specs Register'!B25="","",'Specs Register'!B25)</f>
        <v/>
      </c>
      <c r="B26" s="30"/>
      <c r="C26" s="30"/>
      <c r="D26" s="30"/>
      <c r="E26" s="30"/>
      <c r="F26" s="30"/>
      <c r="G26" s="30"/>
      <c r="H26" s="30"/>
      <c r="I26" s="30"/>
    </row>
    <row r="27" customFormat="false" ht="15" hidden="false" customHeight="true" outlineLevel="0" collapsed="false">
      <c r="A27" s="18" t="str">
        <f aca="false">IF('Specs Register'!B26="","",'Specs Register'!B26)</f>
        <v/>
      </c>
      <c r="B27" s="30"/>
      <c r="C27" s="30"/>
      <c r="D27" s="30"/>
      <c r="E27" s="30"/>
      <c r="F27" s="30"/>
      <c r="G27" s="30"/>
      <c r="H27" s="30"/>
      <c r="I27" s="30"/>
    </row>
    <row r="28" customFormat="false" ht="15" hidden="false" customHeight="true" outlineLevel="0" collapsed="false">
      <c r="A28" s="18" t="str">
        <f aca="false">IF('Specs Register'!B27="","",'Specs Register'!B27)</f>
        <v/>
      </c>
      <c r="B28" s="30"/>
      <c r="C28" s="30"/>
      <c r="D28" s="30"/>
      <c r="E28" s="30"/>
      <c r="F28" s="30"/>
      <c r="G28" s="30"/>
      <c r="H28" s="30"/>
      <c r="I28" s="30"/>
    </row>
    <row r="29" customFormat="false" ht="15" hidden="false" customHeight="true" outlineLevel="0" collapsed="false">
      <c r="A29" s="18" t="str">
        <f aca="false">IF('Specs Register'!B28="","",'Specs Register'!B28)</f>
        <v/>
      </c>
      <c r="B29" s="30"/>
      <c r="C29" s="30"/>
      <c r="D29" s="30"/>
      <c r="E29" s="30"/>
      <c r="F29" s="30"/>
      <c r="G29" s="30"/>
      <c r="H29" s="30"/>
      <c r="I29" s="30"/>
    </row>
    <row r="30" customFormat="false" ht="15" hidden="false" customHeight="true" outlineLevel="0" collapsed="false">
      <c r="A30" s="18" t="str">
        <f aca="false">IF('Specs Register'!B29="","",'Specs Register'!B29)</f>
        <v/>
      </c>
      <c r="B30" s="30"/>
      <c r="C30" s="30"/>
      <c r="D30" s="30"/>
      <c r="E30" s="30"/>
      <c r="F30" s="30"/>
      <c r="G30" s="30"/>
      <c r="H30" s="30"/>
      <c r="I30" s="30"/>
    </row>
    <row r="31" customFormat="false" ht="15" hidden="false" customHeight="true" outlineLevel="0" collapsed="false">
      <c r="A31" s="18" t="str">
        <f aca="false">IF('Specs Register'!B30="","",'Specs Register'!B30)</f>
        <v/>
      </c>
      <c r="B31" s="30"/>
      <c r="C31" s="30"/>
      <c r="D31" s="30"/>
      <c r="E31" s="30"/>
      <c r="F31" s="30"/>
      <c r="G31" s="30"/>
      <c r="H31" s="30"/>
      <c r="I31" s="30"/>
    </row>
    <row r="32" customFormat="false" ht="15" hidden="false" customHeight="true" outlineLevel="0" collapsed="false">
      <c r="A32" s="18" t="str">
        <f aca="false">IF('Specs Register'!B31="","",'Specs Register'!B31)</f>
        <v/>
      </c>
      <c r="B32" s="30"/>
      <c r="C32" s="30"/>
      <c r="D32" s="30"/>
      <c r="E32" s="30"/>
      <c r="F32" s="30"/>
      <c r="G32" s="30"/>
      <c r="H32" s="30"/>
      <c r="I32" s="30"/>
    </row>
    <row r="33" customFormat="false" ht="15" hidden="false" customHeight="true" outlineLevel="0" collapsed="false">
      <c r="A33" s="15"/>
    </row>
    <row r="34" customFormat="false" ht="15" hidden="false" customHeight="true" outlineLevel="0" collapsed="false">
      <c r="A34" s="16" t="s">
        <v>94</v>
      </c>
      <c r="B34" s="16"/>
      <c r="C34" s="16"/>
      <c r="D34" s="16"/>
      <c r="E34" s="16"/>
      <c r="F34" s="16"/>
      <c r="G34" s="16"/>
      <c r="H34" s="16"/>
      <c r="I34" s="16"/>
    </row>
    <row r="35" customFormat="false" ht="15" hidden="false" customHeight="true" outlineLevel="0" collapsed="false">
      <c r="A35" s="16" t="s">
        <v>95</v>
      </c>
      <c r="B35" s="16"/>
      <c r="C35" s="16"/>
      <c r="D35" s="16"/>
      <c r="E35" s="16"/>
      <c r="F35" s="16"/>
      <c r="G35" s="16"/>
      <c r="H35" s="16"/>
      <c r="I35" s="16"/>
    </row>
  </sheetData>
  <mergeCells count="2">
    <mergeCell ref="A34:I34"/>
    <mergeCell ref="A35:I35"/>
  </mergeCells>
  <conditionalFormatting sqref="B3:I3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"Fail"</formula>
    </cfRule>
  </conditionalFormatting>
  <conditionalFormatting sqref="C3:C32">
    <cfRule type="expression" priority="5" aboveAverage="0" equalAverage="0" bottom="0" percent="0" rank="0" text="" dxfId="4">
      <formula>AND(OR(C3="Fail",C3="Partial"),B3="Pass")</formula>
    </cfRule>
  </conditionalFormatting>
  <conditionalFormatting sqref="D3:D32">
    <cfRule type="expression" priority="6" aboveAverage="0" equalAverage="0" bottom="0" percent="0" rank="0" text="" dxfId="4">
      <formula>AND(OR(D3="Fail",D3="Partial"),C3="Pass")</formula>
    </cfRule>
  </conditionalFormatting>
  <conditionalFormatting sqref="E3:E32">
    <cfRule type="expression" priority="7" aboveAverage="0" equalAverage="0" bottom="0" percent="0" rank="0" text="" dxfId="4">
      <formula>AND(OR(E3="Fail",E3="Partial"),D3="Pass")</formula>
    </cfRule>
  </conditionalFormatting>
  <conditionalFormatting sqref="F3:F32">
    <cfRule type="expression" priority="8" aboveAverage="0" equalAverage="0" bottom="0" percent="0" rank="0" text="" dxfId="4">
      <formula>AND(OR(F3="Fail",F3="Partial"),E3="Pass")</formula>
    </cfRule>
  </conditionalFormatting>
  <conditionalFormatting sqref="G3:G32">
    <cfRule type="expression" priority="9" aboveAverage="0" equalAverage="0" bottom="0" percent="0" rank="0" text="" dxfId="4">
      <formula>AND(OR(G3="Fail",G3="Partial"),F3="Pass")</formula>
    </cfRule>
  </conditionalFormatting>
  <conditionalFormatting sqref="H3:H32">
    <cfRule type="expression" priority="10" aboveAverage="0" equalAverage="0" bottom="0" percent="0" rank="0" text="" dxfId="4">
      <formula>AND(OR(H3="Fail",H3="Partial"),G3="Pass")</formula>
    </cfRule>
  </conditionalFormatting>
  <conditionalFormatting sqref="I3:I32">
    <cfRule type="expression" priority="11" aboveAverage="0" equalAverage="0" bottom="0" percent="0" rank="0" text="" dxfId="4">
      <formula>AND(OR(I3="Fail",I3="Partial"),H3="Pass")</formula>
    </cfRule>
  </conditionalFormatting>
  <dataValidations count="1">
    <dataValidation allowBlank="true" errorStyle="stop" operator="between" showDropDown="false" showErrorMessage="false" showInputMessage="false" sqref="B3:I32" type="list">
      <formula1>"Pass,Partial,Fail"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4" min="3" style="1" width="10"/>
    <col collapsed="false" customWidth="true" hidden="false" outlineLevel="0" max="6" min="5" style="1" width="14"/>
    <col collapsed="false" customWidth="true" hidden="false" outlineLevel="0" max="7" min="7" style="1" width="16"/>
    <col collapsed="false" customWidth="true" hidden="false" outlineLevel="0" max="8" min="8" style="1" width="13"/>
    <col collapsed="false" customWidth="true" hidden="false" outlineLevel="0" max="9" min="9" style="1" width="14"/>
    <col collapsed="false" customWidth="true" hidden="false" outlineLevel="0" max="10" min="10" style="1" width="34"/>
  </cols>
  <sheetData>
    <row r="1" customFormat="false" ht="26.25" hidden="false" customHeight="true" outlineLevel="0" collapsed="false">
      <c r="A1" s="17" t="s">
        <v>96</v>
      </c>
      <c r="B1" s="17" t="s">
        <v>97</v>
      </c>
      <c r="C1" s="17" t="s">
        <v>98</v>
      </c>
      <c r="D1" s="17" t="s">
        <v>99</v>
      </c>
      <c r="E1" s="17" t="s">
        <v>100</v>
      </c>
      <c r="F1" s="17" t="s">
        <v>101</v>
      </c>
      <c r="G1" s="17" t="s">
        <v>102</v>
      </c>
      <c r="H1" s="17" t="s">
        <v>103</v>
      </c>
      <c r="I1" s="17" t="s">
        <v>70</v>
      </c>
      <c r="J1" s="17" t="s">
        <v>104</v>
      </c>
    </row>
    <row r="2" customFormat="false" ht="23.25" hidden="false" customHeight="true" outlineLevel="0" collapsed="false">
      <c r="A2" s="19" t="s">
        <v>105</v>
      </c>
      <c r="B2" s="19" t="s">
        <v>106</v>
      </c>
      <c r="C2" s="19" t="n">
        <v>4</v>
      </c>
      <c r="D2" s="19" t="n">
        <v>4</v>
      </c>
      <c r="E2" s="19" t="n">
        <v>5</v>
      </c>
      <c r="F2" s="19" t="n">
        <v>3</v>
      </c>
      <c r="G2" s="19" t="n">
        <v>4</v>
      </c>
      <c r="H2" s="18" t="n">
        <f aca="false">IFERROR(ROUND(AVERAGE(C2:G2),1),"")</f>
        <v>4</v>
      </c>
      <c r="I2" s="20" t="str">
        <f aca="false">IF(H2="","",IF(H2&gt;=4,"Performing",IF(H2&gt;=3,"Monitor","At Risk")))</f>
        <v>Performing</v>
      </c>
      <c r="J2" s="19" t="s">
        <v>107</v>
      </c>
    </row>
    <row r="3" customFormat="false" ht="15" hidden="false" customHeight="true" outlineLevel="0" collapsed="false">
      <c r="A3" s="18"/>
      <c r="B3" s="18"/>
      <c r="C3" s="20"/>
      <c r="D3" s="20"/>
      <c r="E3" s="20"/>
      <c r="F3" s="20"/>
      <c r="G3" s="20"/>
      <c r="H3" s="18" t="str">
        <f aca="false">IFERROR(ROUND(AVERAGE(C3:G3),1),"")</f>
        <v/>
      </c>
      <c r="I3" s="20" t="str">
        <f aca="false">IF(H3="","",IF(H3&gt;=4,"Performing",IF(H3&gt;=3,"Monitor","At Risk")))</f>
        <v/>
      </c>
      <c r="J3" s="18"/>
    </row>
    <row r="4" customFormat="false" ht="15" hidden="false" customHeight="true" outlineLevel="0" collapsed="false">
      <c r="A4" s="18"/>
      <c r="B4" s="18"/>
      <c r="C4" s="20"/>
      <c r="D4" s="20"/>
      <c r="E4" s="20"/>
      <c r="F4" s="20"/>
      <c r="G4" s="20"/>
      <c r="H4" s="18" t="str">
        <f aca="false">IFERROR(ROUND(AVERAGE(C4:G4),1),"")</f>
        <v/>
      </c>
      <c r="I4" s="20" t="str">
        <f aca="false">IF(H4="","",IF(H4&gt;=4,"Performing",IF(H4&gt;=3,"Monitor","At Risk")))</f>
        <v/>
      </c>
      <c r="J4" s="18"/>
    </row>
    <row r="5" customFormat="false" ht="15" hidden="false" customHeight="true" outlineLevel="0" collapsed="false">
      <c r="A5" s="18"/>
      <c r="B5" s="18"/>
      <c r="C5" s="20"/>
      <c r="D5" s="20"/>
      <c r="E5" s="20"/>
      <c r="F5" s="20"/>
      <c r="G5" s="20"/>
      <c r="H5" s="18" t="str">
        <f aca="false">IFERROR(ROUND(AVERAGE(C5:G5),1),"")</f>
        <v/>
      </c>
      <c r="I5" s="20" t="str">
        <f aca="false">IF(H5="","",IF(H5&gt;=4,"Performing",IF(H5&gt;=3,"Monitor","At Risk")))</f>
        <v/>
      </c>
      <c r="J5" s="18"/>
    </row>
    <row r="6" customFormat="false" ht="15" hidden="false" customHeight="true" outlineLevel="0" collapsed="false">
      <c r="A6" s="18"/>
      <c r="B6" s="18"/>
      <c r="C6" s="20"/>
      <c r="D6" s="20"/>
      <c r="E6" s="20"/>
      <c r="F6" s="20"/>
      <c r="G6" s="20"/>
      <c r="H6" s="18" t="str">
        <f aca="false">IFERROR(ROUND(AVERAGE(C6:G6),1),"")</f>
        <v/>
      </c>
      <c r="I6" s="20" t="str">
        <f aca="false">IF(H6="","",IF(H6&gt;=4,"Performing",IF(H6&gt;=3,"Monitor","At Risk")))</f>
        <v/>
      </c>
      <c r="J6" s="18"/>
    </row>
    <row r="7" customFormat="false" ht="15" hidden="false" customHeight="true" outlineLevel="0" collapsed="false">
      <c r="A7" s="18"/>
      <c r="B7" s="18"/>
      <c r="C7" s="20"/>
      <c r="D7" s="20"/>
      <c r="E7" s="20"/>
      <c r="F7" s="20"/>
      <c r="G7" s="20"/>
      <c r="H7" s="18" t="str">
        <f aca="false">IFERROR(ROUND(AVERAGE(C7:G7),1),"")</f>
        <v/>
      </c>
      <c r="I7" s="20" t="str">
        <f aca="false">IF(H7="","",IF(H7&gt;=4,"Performing",IF(H7&gt;=3,"Monitor","At Risk")))</f>
        <v/>
      </c>
      <c r="J7" s="18"/>
    </row>
    <row r="8" customFormat="false" ht="15" hidden="false" customHeight="true" outlineLevel="0" collapsed="false">
      <c r="A8" s="18"/>
      <c r="B8" s="18"/>
      <c r="C8" s="20"/>
      <c r="D8" s="20"/>
      <c r="E8" s="20"/>
      <c r="F8" s="20"/>
      <c r="G8" s="20"/>
      <c r="H8" s="18" t="str">
        <f aca="false">IFERROR(ROUND(AVERAGE(C8:G8),1),"")</f>
        <v/>
      </c>
      <c r="I8" s="20" t="str">
        <f aca="false">IF(H8="","",IF(H8&gt;=4,"Performing",IF(H8&gt;=3,"Monitor","At Risk")))</f>
        <v/>
      </c>
      <c r="J8" s="18"/>
    </row>
    <row r="9" customFormat="false" ht="15" hidden="false" customHeight="true" outlineLevel="0" collapsed="false">
      <c r="A9" s="18"/>
      <c r="B9" s="18"/>
      <c r="C9" s="20"/>
      <c r="D9" s="20"/>
      <c r="E9" s="20"/>
      <c r="F9" s="20"/>
      <c r="G9" s="20"/>
      <c r="H9" s="18" t="str">
        <f aca="false">IFERROR(ROUND(AVERAGE(C9:G9),1),"")</f>
        <v/>
      </c>
      <c r="I9" s="20" t="str">
        <f aca="false">IF(H9="","",IF(H9&gt;=4,"Performing",IF(H9&gt;=3,"Monitor","At Risk")))</f>
        <v/>
      </c>
      <c r="J9" s="18"/>
    </row>
    <row r="10" customFormat="false" ht="15" hidden="false" customHeight="true" outlineLevel="0" collapsed="false">
      <c r="A10" s="18"/>
      <c r="B10" s="18"/>
      <c r="C10" s="20"/>
      <c r="D10" s="20"/>
      <c r="E10" s="20"/>
      <c r="F10" s="20"/>
      <c r="G10" s="20"/>
      <c r="H10" s="18" t="str">
        <f aca="false">IFERROR(ROUND(AVERAGE(C10:G10),1),"")</f>
        <v/>
      </c>
      <c r="I10" s="20" t="str">
        <f aca="false">IF(H10="","",IF(H10&gt;=4,"Performing",IF(H10&gt;=3,"Monitor","At Risk")))</f>
        <v/>
      </c>
      <c r="J10" s="18"/>
    </row>
    <row r="11" customFormat="false" ht="15" hidden="false" customHeight="true" outlineLevel="0" collapsed="false">
      <c r="A11" s="18"/>
      <c r="B11" s="18"/>
      <c r="C11" s="20"/>
      <c r="D11" s="20"/>
      <c r="E11" s="20"/>
      <c r="F11" s="20"/>
      <c r="G11" s="20"/>
      <c r="H11" s="18" t="str">
        <f aca="false">IFERROR(ROUND(AVERAGE(C11:G11),1),"")</f>
        <v/>
      </c>
      <c r="I11" s="20" t="str">
        <f aca="false">IF(H11="","",IF(H11&gt;=4,"Performing",IF(H11&gt;=3,"Monitor","At Risk")))</f>
        <v/>
      </c>
      <c r="J11" s="18"/>
    </row>
    <row r="12" customFormat="false" ht="15" hidden="false" customHeight="true" outlineLevel="0" collapsed="false">
      <c r="A12" s="18"/>
      <c r="B12" s="18"/>
      <c r="C12" s="20"/>
      <c r="D12" s="20"/>
      <c r="E12" s="20"/>
      <c r="F12" s="20"/>
      <c r="G12" s="20"/>
      <c r="H12" s="18" t="str">
        <f aca="false">IFERROR(ROUND(AVERAGE(C12:G12),1),"")</f>
        <v/>
      </c>
      <c r="I12" s="20" t="str">
        <f aca="false">IF(H12="","",IF(H12&gt;=4,"Performing",IF(H12&gt;=3,"Monitor","At Risk")))</f>
        <v/>
      </c>
      <c r="J12" s="18"/>
    </row>
    <row r="13" customFormat="false" ht="15" hidden="false" customHeight="true" outlineLevel="0" collapsed="false">
      <c r="A13" s="18"/>
      <c r="B13" s="18"/>
      <c r="C13" s="20"/>
      <c r="D13" s="20"/>
      <c r="E13" s="20"/>
      <c r="F13" s="20"/>
      <c r="G13" s="20"/>
      <c r="H13" s="18" t="str">
        <f aca="false">IFERROR(ROUND(AVERAGE(C13:G13),1),"")</f>
        <v/>
      </c>
      <c r="I13" s="20" t="str">
        <f aca="false">IF(H13="","",IF(H13&gt;=4,"Performing",IF(H13&gt;=3,"Monitor","At Risk")))</f>
        <v/>
      </c>
      <c r="J13" s="18"/>
    </row>
    <row r="14" customFormat="false" ht="15" hidden="false" customHeight="true" outlineLevel="0" collapsed="false">
      <c r="A14" s="18"/>
      <c r="B14" s="18"/>
      <c r="C14" s="20"/>
      <c r="D14" s="20"/>
      <c r="E14" s="20"/>
      <c r="F14" s="20"/>
      <c r="G14" s="20"/>
      <c r="H14" s="18" t="str">
        <f aca="false">IFERROR(ROUND(AVERAGE(C14:G14),1),"")</f>
        <v/>
      </c>
      <c r="I14" s="20" t="str">
        <f aca="false">IF(H14="","",IF(H14&gt;=4,"Performing",IF(H14&gt;=3,"Monitor","At Risk")))</f>
        <v/>
      </c>
      <c r="J14" s="18"/>
    </row>
    <row r="15" customFormat="false" ht="15" hidden="false" customHeight="true" outlineLevel="0" collapsed="false">
      <c r="A15" s="18"/>
      <c r="B15" s="18"/>
      <c r="C15" s="20"/>
      <c r="D15" s="20"/>
      <c r="E15" s="20"/>
      <c r="F15" s="20"/>
      <c r="G15" s="20"/>
      <c r="H15" s="18" t="str">
        <f aca="false">IFERROR(ROUND(AVERAGE(C15:G15),1),"")</f>
        <v/>
      </c>
      <c r="I15" s="20" t="str">
        <f aca="false">IF(H15="","",IF(H15&gt;=4,"Performing",IF(H15&gt;=3,"Monitor","At Risk")))</f>
        <v/>
      </c>
      <c r="J15" s="18"/>
    </row>
    <row r="16" customFormat="false" ht="15" hidden="false" customHeight="true" outlineLevel="0" collapsed="false">
      <c r="A16" s="18"/>
      <c r="B16" s="18"/>
      <c r="C16" s="20"/>
      <c r="D16" s="20"/>
      <c r="E16" s="20"/>
      <c r="F16" s="20"/>
      <c r="G16" s="20"/>
      <c r="H16" s="18" t="str">
        <f aca="false">IFERROR(ROUND(AVERAGE(C16:G16),1),"")</f>
        <v/>
      </c>
      <c r="I16" s="20" t="str">
        <f aca="false">IF(H16="","",IF(H16&gt;=4,"Performing",IF(H16&gt;=3,"Monitor","At Risk")))</f>
        <v/>
      </c>
      <c r="J16" s="18"/>
    </row>
    <row r="17" customFormat="false" ht="15" hidden="false" customHeight="true" outlineLevel="0" collapsed="false">
      <c r="A17" s="18"/>
      <c r="B17" s="18"/>
      <c r="C17" s="20"/>
      <c r="D17" s="20"/>
      <c r="E17" s="20"/>
      <c r="F17" s="20"/>
      <c r="G17" s="20"/>
      <c r="H17" s="18" t="str">
        <f aca="false">IFERROR(ROUND(AVERAGE(C17:G17),1),"")</f>
        <v/>
      </c>
      <c r="I17" s="20" t="str">
        <f aca="false">IF(H17="","",IF(H17&gt;=4,"Performing",IF(H17&gt;=3,"Monitor","At Risk")))</f>
        <v/>
      </c>
      <c r="J17" s="18"/>
    </row>
    <row r="18" customFormat="false" ht="15" hidden="false" customHeight="true" outlineLevel="0" collapsed="false">
      <c r="A18" s="18"/>
      <c r="B18" s="18"/>
      <c r="C18" s="20"/>
      <c r="D18" s="20"/>
      <c r="E18" s="20"/>
      <c r="F18" s="20"/>
      <c r="G18" s="20"/>
      <c r="H18" s="18" t="str">
        <f aca="false">IFERROR(ROUND(AVERAGE(C18:G18),1),"")</f>
        <v/>
      </c>
      <c r="I18" s="20" t="str">
        <f aca="false">IF(H18="","",IF(H18&gt;=4,"Performing",IF(H18&gt;=3,"Monitor","At Risk")))</f>
        <v/>
      </c>
      <c r="J18" s="18"/>
    </row>
    <row r="19" customFormat="false" ht="15" hidden="false" customHeight="true" outlineLevel="0" collapsed="false">
      <c r="A19" s="18"/>
      <c r="B19" s="18"/>
      <c r="C19" s="20"/>
      <c r="D19" s="20"/>
      <c r="E19" s="20"/>
      <c r="F19" s="20"/>
      <c r="G19" s="20"/>
      <c r="H19" s="18" t="str">
        <f aca="false">IFERROR(ROUND(AVERAGE(C19:G19),1),"")</f>
        <v/>
      </c>
      <c r="I19" s="20" t="str">
        <f aca="false">IF(H19="","",IF(H19&gt;=4,"Performing",IF(H19&gt;=3,"Monitor","At Risk")))</f>
        <v/>
      </c>
      <c r="J19" s="18"/>
    </row>
    <row r="20" customFormat="false" ht="15" hidden="false" customHeight="true" outlineLevel="0" collapsed="false">
      <c r="A20" s="18"/>
      <c r="B20" s="18"/>
      <c r="C20" s="20"/>
      <c r="D20" s="20"/>
      <c r="E20" s="20"/>
      <c r="F20" s="20"/>
      <c r="G20" s="20"/>
      <c r="H20" s="18" t="str">
        <f aca="false">IFERROR(ROUND(AVERAGE(C20:G20),1),"")</f>
        <v/>
      </c>
      <c r="I20" s="20" t="str">
        <f aca="false">IF(H20="","",IF(H20&gt;=4,"Performing",IF(H20&gt;=3,"Monitor","At Risk")))</f>
        <v/>
      </c>
      <c r="J20" s="18"/>
    </row>
    <row r="21" customFormat="false" ht="15" hidden="false" customHeight="true" outlineLevel="0" collapsed="false">
      <c r="A21" s="18"/>
      <c r="B21" s="18"/>
      <c r="C21" s="20"/>
      <c r="D21" s="20"/>
      <c r="E21" s="20"/>
      <c r="F21" s="20"/>
      <c r="G21" s="20"/>
      <c r="H21" s="18" t="str">
        <f aca="false">IFERROR(ROUND(AVERAGE(C21:G21),1),"")</f>
        <v/>
      </c>
      <c r="I21" s="20" t="str">
        <f aca="false">IF(H21="","",IF(H21&gt;=4,"Performing",IF(H21&gt;=3,"Monitor","At Risk")))</f>
        <v/>
      </c>
      <c r="J21" s="18"/>
    </row>
    <row r="22" customFormat="false" ht="15" hidden="false" customHeight="true" outlineLevel="0" collapsed="false">
      <c r="A22" s="18"/>
      <c r="B22" s="18"/>
      <c r="C22" s="20"/>
      <c r="D22" s="20"/>
      <c r="E22" s="20"/>
      <c r="F22" s="20"/>
      <c r="G22" s="20"/>
      <c r="H22" s="18" t="str">
        <f aca="false">IFERROR(ROUND(AVERAGE(C22:G22),1),"")</f>
        <v/>
      </c>
      <c r="I22" s="20" t="str">
        <f aca="false">IF(H22="","",IF(H22&gt;=4,"Performing",IF(H22&gt;=3,"Monitor","At Risk")))</f>
        <v/>
      </c>
      <c r="J22" s="18"/>
    </row>
    <row r="23" customFormat="false" ht="15" hidden="false" customHeight="true" outlineLevel="0" collapsed="false">
      <c r="A23" s="18"/>
      <c r="B23" s="18"/>
      <c r="C23" s="20"/>
      <c r="D23" s="20"/>
      <c r="E23" s="20"/>
      <c r="F23" s="20"/>
      <c r="G23" s="20"/>
      <c r="H23" s="18" t="str">
        <f aca="false">IFERROR(ROUND(AVERAGE(C23:G23),1),"")</f>
        <v/>
      </c>
      <c r="I23" s="20" t="str">
        <f aca="false">IF(H23="","",IF(H23&gt;=4,"Performing",IF(H23&gt;=3,"Monitor","At Risk")))</f>
        <v/>
      </c>
      <c r="J23" s="18"/>
    </row>
    <row r="24" customFormat="false" ht="15" hidden="false" customHeight="true" outlineLevel="0" collapsed="false">
      <c r="A24" s="18"/>
      <c r="B24" s="18"/>
      <c r="C24" s="20"/>
      <c r="D24" s="20"/>
      <c r="E24" s="20"/>
      <c r="F24" s="20"/>
      <c r="G24" s="20"/>
      <c r="H24" s="18" t="str">
        <f aca="false">IFERROR(ROUND(AVERAGE(C24:G24),1),"")</f>
        <v/>
      </c>
      <c r="I24" s="20" t="str">
        <f aca="false">IF(H24="","",IF(H24&gt;=4,"Performing",IF(H24&gt;=3,"Monitor","At Risk")))</f>
        <v/>
      </c>
      <c r="J24" s="18"/>
    </row>
    <row r="25" customFormat="false" ht="15" hidden="false" customHeight="true" outlineLevel="0" collapsed="false">
      <c r="A25" s="18"/>
      <c r="B25" s="18"/>
      <c r="C25" s="20"/>
      <c r="D25" s="20"/>
      <c r="E25" s="20"/>
      <c r="F25" s="20"/>
      <c r="G25" s="20"/>
      <c r="H25" s="18" t="str">
        <f aca="false">IFERROR(ROUND(AVERAGE(C25:G25),1),"")</f>
        <v/>
      </c>
      <c r="I25" s="20" t="str">
        <f aca="false">IF(H25="","",IF(H25&gt;=4,"Performing",IF(H25&gt;=3,"Monitor","At Risk")))</f>
        <v/>
      </c>
      <c r="J25" s="18"/>
    </row>
    <row r="26" customFormat="false" ht="15" hidden="false" customHeight="true" outlineLevel="0" collapsed="false">
      <c r="A26" s="18"/>
      <c r="B26" s="18"/>
      <c r="C26" s="20"/>
      <c r="D26" s="20"/>
      <c r="E26" s="20"/>
      <c r="F26" s="20"/>
      <c r="G26" s="20"/>
      <c r="H26" s="18" t="str">
        <f aca="false">IFERROR(ROUND(AVERAGE(C26:G26),1),"")</f>
        <v/>
      </c>
      <c r="I26" s="20" t="str">
        <f aca="false">IF(H26="","",IF(H26&gt;=4,"Performing",IF(H26&gt;=3,"Monitor","At Risk")))</f>
        <v/>
      </c>
      <c r="J26" s="18"/>
    </row>
    <row r="27" customFormat="false" ht="15" hidden="false" customHeight="true" outlineLevel="0" collapsed="false">
      <c r="A27" s="18"/>
      <c r="B27" s="18"/>
      <c r="C27" s="20"/>
      <c r="D27" s="20"/>
      <c r="E27" s="20"/>
      <c r="F27" s="20"/>
      <c r="G27" s="20"/>
      <c r="H27" s="18" t="str">
        <f aca="false">IFERROR(ROUND(AVERAGE(C27:G27),1),"")</f>
        <v/>
      </c>
      <c r="I27" s="20" t="str">
        <f aca="false">IF(H27="","",IF(H27&gt;=4,"Performing",IF(H27&gt;=3,"Monitor","At Risk")))</f>
        <v/>
      </c>
      <c r="J27" s="18"/>
    </row>
    <row r="28" customFormat="false" ht="15" hidden="false" customHeight="true" outlineLevel="0" collapsed="false">
      <c r="A28" s="18"/>
      <c r="B28" s="18"/>
      <c r="C28" s="20"/>
      <c r="D28" s="20"/>
      <c r="E28" s="20"/>
      <c r="F28" s="20"/>
      <c r="G28" s="20"/>
      <c r="H28" s="18" t="str">
        <f aca="false">IFERROR(ROUND(AVERAGE(C28:G28),1),"")</f>
        <v/>
      </c>
      <c r="I28" s="20" t="str">
        <f aca="false">IF(H28="","",IF(H28&gt;=4,"Performing",IF(H28&gt;=3,"Monitor","At Risk")))</f>
        <v/>
      </c>
      <c r="J28" s="18"/>
    </row>
    <row r="29" customFormat="false" ht="15" hidden="false" customHeight="true" outlineLevel="0" collapsed="false">
      <c r="A29" s="18"/>
      <c r="B29" s="18"/>
      <c r="C29" s="20"/>
      <c r="D29" s="20"/>
      <c r="E29" s="20"/>
      <c r="F29" s="20"/>
      <c r="G29" s="20"/>
      <c r="H29" s="18" t="str">
        <f aca="false">IFERROR(ROUND(AVERAGE(C29:G29),1),"")</f>
        <v/>
      </c>
      <c r="I29" s="20" t="str">
        <f aca="false">IF(H29="","",IF(H29&gt;=4,"Performing",IF(H29&gt;=3,"Monitor","At Risk")))</f>
        <v/>
      </c>
      <c r="J29" s="18"/>
    </row>
    <row r="30" customFormat="false" ht="15" hidden="false" customHeight="true" outlineLevel="0" collapsed="false">
      <c r="A30" s="18"/>
      <c r="B30" s="18"/>
      <c r="C30" s="20"/>
      <c r="D30" s="20"/>
      <c r="E30" s="20"/>
      <c r="F30" s="20"/>
      <c r="G30" s="20"/>
      <c r="H30" s="18" t="str">
        <f aca="false">IFERROR(ROUND(AVERAGE(C30:G30),1),"")</f>
        <v/>
      </c>
      <c r="I30" s="20" t="str">
        <f aca="false">IF(H30="","",IF(H30&gt;=4,"Performing",IF(H30&gt;=3,"Monitor","At Risk")))</f>
        <v/>
      </c>
      <c r="J30" s="18"/>
    </row>
    <row r="31" customFormat="false" ht="15" hidden="false" customHeight="true" outlineLevel="0" collapsed="false">
      <c r="A31" s="18"/>
      <c r="B31" s="18"/>
      <c r="C31" s="20"/>
      <c r="D31" s="20"/>
      <c r="E31" s="20"/>
      <c r="F31" s="20"/>
      <c r="G31" s="20"/>
      <c r="H31" s="18" t="str">
        <f aca="false">IFERROR(ROUND(AVERAGE(C31:G31),1),"")</f>
        <v/>
      </c>
      <c r="I31" s="20" t="str">
        <f aca="false">IF(H31="","",IF(H31&gt;=4,"Performing",IF(H31&gt;=3,"Monitor","At Risk")))</f>
        <v/>
      </c>
      <c r="J31" s="18"/>
    </row>
    <row r="32" customFormat="false" ht="15" hidden="false" customHeight="true" outlineLevel="0" collapsed="false">
      <c r="A32" s="18"/>
      <c r="B32" s="18"/>
      <c r="C32" s="20"/>
      <c r="D32" s="20"/>
      <c r="E32" s="20"/>
      <c r="F32" s="20"/>
      <c r="G32" s="20"/>
      <c r="H32" s="18" t="str">
        <f aca="false">IFERROR(ROUND(AVERAGE(C32:G32),1),"")</f>
        <v/>
      </c>
      <c r="I32" s="20" t="str">
        <f aca="false">IF(H32="","",IF(H32&gt;=4,"Performing",IF(H32&gt;=3,"Monitor","At Risk")))</f>
        <v/>
      </c>
      <c r="J32" s="18"/>
    </row>
    <row r="34" customFormat="false" ht="15" hidden="false" customHeight="true" outlineLevel="0" collapsed="false">
      <c r="A34" s="16" t="s">
        <v>108</v>
      </c>
      <c r="B34" s="16"/>
      <c r="C34" s="16"/>
      <c r="D34" s="16"/>
      <c r="E34" s="16"/>
      <c r="F34" s="16"/>
      <c r="G34" s="16"/>
      <c r="H34" s="16"/>
      <c r="I34" s="16"/>
      <c r="J34" s="16"/>
    </row>
  </sheetData>
  <mergeCells count="1">
    <mergeCell ref="A34:J34"/>
  </mergeCells>
  <conditionalFormatting sqref="I2:I32">
    <cfRule type="cellIs" priority="2" operator="equal" aboveAverage="0" equalAverage="0" bottom="0" percent="0" rank="0" text="" dxfId="0">
      <formula>"Performing"</formula>
    </cfRule>
    <cfRule type="cellIs" priority="3" operator="equal" aboveAverage="0" equalAverage="0" bottom="0" percent="0" rank="0" text="" dxfId="1">
      <formula>"Monitor"</formula>
    </cfRule>
    <cfRule type="cellIs" priority="4" operator="equal" aboveAverage="0" equalAverage="0" bottom="0" percent="0" rank="0" text="" dxfId="2">
      <formula>"At Risk"</formula>
    </cfRule>
  </conditionalFormatting>
  <dataValidations count="1">
    <dataValidation allowBlank="true" errorStyle="stop" operator="between" showDropDown="false" showErrorMessage="false" showInputMessage="false" sqref="C2:G3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1" t="s">
        <v>109</v>
      </c>
      <c r="B1" s="21" t="s">
        <v>110</v>
      </c>
      <c r="C1" s="21" t="s">
        <v>111</v>
      </c>
      <c r="D1" s="21" t="s">
        <v>112</v>
      </c>
    </row>
    <row r="2" customFormat="false" ht="34.5" hidden="false" customHeight="true" outlineLevel="0" collapsed="false">
      <c r="A2" s="19" t="s">
        <v>113</v>
      </c>
      <c r="B2" s="19" t="s">
        <v>114</v>
      </c>
      <c r="C2" s="19" t="s">
        <v>97</v>
      </c>
      <c r="D2" s="19" t="s">
        <v>115</v>
      </c>
    </row>
    <row r="3" customFormat="false" ht="15" hidden="false" customHeight="true" outlineLevel="0" collapsed="false">
      <c r="A3" s="18"/>
      <c r="B3" s="20"/>
      <c r="C3" s="20"/>
      <c r="D3" s="18"/>
    </row>
    <row r="4" customFormat="false" ht="15" hidden="false" customHeight="true" outlineLevel="0" collapsed="false">
      <c r="A4" s="18"/>
      <c r="B4" s="20"/>
      <c r="C4" s="20"/>
      <c r="D4" s="18"/>
    </row>
    <row r="5" customFormat="false" ht="15" hidden="false" customHeight="true" outlineLevel="0" collapsed="false">
      <c r="A5" s="18"/>
      <c r="B5" s="20"/>
      <c r="C5" s="20"/>
      <c r="D5" s="18"/>
    </row>
    <row r="6" customFormat="false" ht="15" hidden="false" customHeight="true" outlineLevel="0" collapsed="false">
      <c r="A6" s="18"/>
      <c r="B6" s="20"/>
      <c r="C6" s="20"/>
      <c r="D6" s="18"/>
    </row>
    <row r="7" customFormat="false" ht="15" hidden="false" customHeight="true" outlineLevel="0" collapsed="false">
      <c r="A7" s="18"/>
      <c r="B7" s="20"/>
      <c r="C7" s="20"/>
      <c r="D7" s="18"/>
    </row>
    <row r="8" customFormat="false" ht="15" hidden="false" customHeight="true" outlineLevel="0" collapsed="false">
      <c r="A8" s="18"/>
      <c r="B8" s="20"/>
      <c r="C8" s="20"/>
      <c r="D8" s="18"/>
    </row>
    <row r="9" customFormat="false" ht="15" hidden="false" customHeight="true" outlineLevel="0" collapsed="false">
      <c r="A9" s="18"/>
      <c r="B9" s="20"/>
      <c r="C9" s="20"/>
      <c r="D9" s="18"/>
    </row>
    <row r="10" customFormat="false" ht="15" hidden="false" customHeight="true" outlineLevel="0" collapsed="false">
      <c r="A10" s="18"/>
      <c r="B10" s="20"/>
      <c r="C10" s="20"/>
      <c r="D10" s="18"/>
    </row>
    <row r="11" customFormat="false" ht="15" hidden="false" customHeight="true" outlineLevel="0" collapsed="false">
      <c r="A11" s="18"/>
      <c r="B11" s="20"/>
      <c r="C11" s="20"/>
      <c r="D11" s="18"/>
    </row>
    <row r="12" customFormat="false" ht="15" hidden="false" customHeight="true" outlineLevel="0" collapsed="false">
      <c r="A12" s="18"/>
      <c r="B12" s="20"/>
      <c r="C12" s="20"/>
      <c r="D12" s="18"/>
    </row>
    <row r="13" customFormat="false" ht="15" hidden="false" customHeight="true" outlineLevel="0" collapsed="false">
      <c r="A13" s="18"/>
      <c r="B13" s="20"/>
      <c r="C13" s="20"/>
      <c r="D13" s="18"/>
    </row>
    <row r="14" customFormat="false" ht="15" hidden="false" customHeight="true" outlineLevel="0" collapsed="false">
      <c r="A14" s="18"/>
      <c r="B14" s="20"/>
      <c r="C14" s="20"/>
      <c r="D14" s="18"/>
    </row>
    <row r="15" customFormat="false" ht="15" hidden="false" customHeight="true" outlineLevel="0" collapsed="false">
      <c r="A15" s="18"/>
      <c r="B15" s="20"/>
      <c r="C15" s="20"/>
      <c r="D15" s="18"/>
    </row>
    <row r="16" customFormat="false" ht="15" hidden="false" customHeight="true" outlineLevel="0" collapsed="false">
      <c r="A16" s="18"/>
      <c r="B16" s="20"/>
      <c r="C16" s="20"/>
      <c r="D16" s="18"/>
    </row>
    <row r="17" customFormat="false" ht="15" hidden="false" customHeight="true" outlineLevel="0" collapsed="false">
      <c r="A17" s="18"/>
      <c r="B17" s="20"/>
      <c r="C17" s="20"/>
      <c r="D17" s="18"/>
    </row>
    <row r="18" customFormat="false" ht="15" hidden="false" customHeight="true" outlineLevel="0" collapsed="false">
      <c r="A18" s="18"/>
      <c r="B18" s="20"/>
      <c r="C18" s="20"/>
      <c r="D18" s="18"/>
    </row>
    <row r="19" customFormat="false" ht="15" hidden="false" customHeight="true" outlineLevel="0" collapsed="false">
      <c r="A19" s="18"/>
      <c r="B19" s="20"/>
      <c r="C19" s="20"/>
      <c r="D19" s="18"/>
    </row>
    <row r="20" customFormat="false" ht="15" hidden="false" customHeight="true" outlineLevel="0" collapsed="false">
      <c r="A20" s="18"/>
      <c r="B20" s="20"/>
      <c r="C20" s="20"/>
      <c r="D20" s="18"/>
    </row>
    <row r="21" customFormat="false" ht="15" hidden="false" customHeight="true" outlineLevel="0" collapsed="false">
      <c r="A21" s="18"/>
      <c r="B21" s="20"/>
      <c r="C21" s="20"/>
      <c r="D21" s="18"/>
    </row>
    <row r="22" customFormat="false" ht="15" hidden="false" customHeight="true" outlineLevel="0" collapsed="false">
      <c r="A22" s="18"/>
      <c r="B22" s="20"/>
      <c r="C22" s="20"/>
      <c r="D22" s="18"/>
    </row>
    <row r="23" customFormat="false" ht="15" hidden="false" customHeight="true" outlineLevel="0" collapsed="false">
      <c r="A23" s="18"/>
      <c r="B23" s="20"/>
      <c r="C23" s="20"/>
      <c r="D23" s="18"/>
    </row>
    <row r="24" customFormat="false" ht="15" hidden="false" customHeight="true" outlineLevel="0" collapsed="false">
      <c r="A24" s="18"/>
      <c r="B24" s="20"/>
      <c r="C24" s="20"/>
      <c r="D24" s="18"/>
    </row>
    <row r="25" customFormat="false" ht="15" hidden="false" customHeight="true" outlineLevel="0" collapsed="false">
      <c r="A25" s="18"/>
      <c r="B25" s="20"/>
      <c r="C25" s="20"/>
      <c r="D25" s="18"/>
    </row>
    <row r="26" customFormat="false" ht="15" hidden="false" customHeight="true" outlineLevel="0" collapsed="false">
      <c r="A26" s="18"/>
      <c r="B26" s="20"/>
      <c r="C26" s="20"/>
      <c r="D26" s="18"/>
    </row>
    <row r="27" customFormat="false" ht="15" hidden="false" customHeight="true" outlineLevel="0" collapsed="false">
      <c r="A27" s="18"/>
      <c r="B27" s="20"/>
      <c r="C27" s="20"/>
      <c r="D27" s="18"/>
    </row>
    <row r="28" customFormat="false" ht="15" hidden="false" customHeight="true" outlineLevel="0" collapsed="false">
      <c r="A28" s="18"/>
      <c r="B28" s="20"/>
      <c r="C28" s="20"/>
      <c r="D28" s="18"/>
    </row>
    <row r="29" customFormat="false" ht="15" hidden="false" customHeight="true" outlineLevel="0" collapsed="false">
      <c r="A29" s="18"/>
      <c r="B29" s="20"/>
      <c r="C29" s="20"/>
      <c r="D29" s="18"/>
    </row>
    <row r="30" customFormat="false" ht="15" hidden="false" customHeight="true" outlineLevel="0" collapsed="false">
      <c r="A30" s="18"/>
      <c r="B30" s="20"/>
      <c r="C30" s="20"/>
      <c r="D30" s="18"/>
    </row>
    <row r="31" customFormat="false" ht="15" hidden="false" customHeight="true" outlineLevel="0" collapsed="false">
      <c r="A31" s="18"/>
      <c r="B31" s="20"/>
      <c r="C31" s="20"/>
      <c r="D31" s="18"/>
    </row>
  </sheetData>
  <dataValidations count="2">
    <dataValidation allowBlank="true" errorStyle="stop" operator="between" showDropDown="false" showErrorMessage="false" showInputMessage="false" sqref="B2:B31" type="list">
      <formula1>"Joint Call,Proactive Fix,Agreement Reached,Issue Raised,Other"</formula1>
      <formula2>0</formula2>
    </dataValidation>
    <dataValidation allowBlank="true" errorStyle="stop" operator="between" showDropDown="false" showErrorMessage="false" showInputMessage="false" sqref="C2:C31" type="list">
      <formula1>"Us,Supplier,Joint"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2026-08-19T11:48:12Z</dcterms:created>
  <dc:creator>openpyxl</dc:creator>
  <dc:description/>
  <dc:language>en-US</dc:language>
  <cp:lastModifiedBy/>
  <dcterms:modified xsi:type="dcterms:W3CDTF">2026-08-19T13:26:10Z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